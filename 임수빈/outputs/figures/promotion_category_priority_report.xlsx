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74f299774b48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최종 요약" sheetId="1" r:id="R39e6a1b1bf434879"/>
    <x:sheet xmlns:r="http://schemas.openxmlformats.org/officeDocument/2006/relationships" name="카테고리 판정" sheetId="2" r:id="Rc33991d106b74aa5"/>
    <x:sheet xmlns:r="http://schemas.openxmlformats.org/officeDocument/2006/relationships" name="상세 통계" sheetId="3" r:id="R28ec147234e447fe"/>
    <x:sheet xmlns:r="http://schemas.openxmlformats.org/officeDocument/2006/relationships" name="방향성 후보" sheetId="4" r:id="R7c71fecdcfd142e8"/>
    <x:sheet xmlns:r="http://schemas.openxmlformats.org/officeDocument/2006/relationships" name="우선 상품" sheetId="5" r:id="R98032534f2f747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%"/>
    <x:numFmt numFmtId="201" formatCode="0.0000"/>
    <x:numFmt numFmtId="202" formatCode="#,##0"/>
    <x:numFmt numFmtId="203" formatCode="0.00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1"/>
      <x:color rgb="FF274E13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0">
    <x:border/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4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202" fontId="0" fillId="0" borderId="5" xfId="0" applyNumberFormat="1" applyFont="1" applyFill="1" applyBorder="1"/>
    <x:xf numFmtId="202" fontId="0" fillId="0" borderId="8" xfId="0" applyNumberFormat="1" applyFont="1" applyFill="1" applyBorder="1"/>
    <x:xf numFmtId="203" fontId="0" fillId="0" borderId="5" xfId="0" applyNumberFormat="1" applyFont="1" applyFill="1" applyBorder="1"/>
    <x:xf numFmtId="203" fontId="0" fillId="0" borderId="8" xfId="0" applyNumberFormat="1" applyFont="1" applyFill="1" applyBorder="1"/>
    <x:xf numFmtId="0" fontId="0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6" xfId="0" applyNumberFormat="1" applyFont="1" applyFill="1" applyBorder="1"/>
    <x:xf numFmtId="203" fontId="0" fillId="0" borderId="9" xfId="0" applyNumberFormat="1" applyFont="1" applyFill="1" applyBorder="1"/>
  </x:cellXfs>
  <x:cellStyles count="1">
    <x:cellStyle name="Normal" xfId="0"/>
  </x:cellStyles>
  <x:dxfs count="3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4ae42538374145" /><Relationship Type="http://schemas.openxmlformats.org/officeDocument/2006/relationships/theme" Target="/xl/theme/theme1.xml" Id="R83f2a34c5f2548c0" /><Relationship Type="http://schemas.microsoft.com/office/2022/11/relationships/FeaturePropertyBag" Target="/xl/featurePropertyBag/featurePropertyBag.xml" Id="Rb5a943872ba345e6" /><Relationship Type="http://schemas.openxmlformats.org/officeDocument/2006/relationships/sharedStrings" Target="/xl/sharedStrings.xml" Id="R98b7971317234232" /><Relationship Type="http://schemas.openxmlformats.org/officeDocument/2006/relationships/worksheet" Target="/xl/worksheets/sheet1.xml" Id="R39e6a1b1bf434879" /><Relationship Type="http://schemas.openxmlformats.org/officeDocument/2006/relationships/worksheet" Target="/xl/worksheets/sheet2.xml" Id="Rc33991d106b74aa5" /><Relationship Type="http://schemas.openxmlformats.org/officeDocument/2006/relationships/worksheet" Target="/xl/worksheets/sheet3.xml" Id="R28ec147234e447fe" /><Relationship Type="http://schemas.openxmlformats.org/officeDocument/2006/relationships/worksheet" Target="/xl/worksheets/sheet4.xml" Id="R7c71fecdcfd142e8" /><Relationship Type="http://schemas.openxmlformats.org/officeDocument/2006/relationships/worksheet" Target="/xl/worksheets/sheet5.xml" Id="R98032534f2f7470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tegoryDecisionTable" displayName="CategoryDecisionTable" ref="A1:H253" headerRowCount="1" totalsRowCount="0" totalsRowShown="0">
  <x:tableColumns count="8">
    <x:tableColumn id="1" name="DEPARTMENT"/>
    <x:tableColumn id="2" name="COMMODITY_DESC"/>
    <x:tableColumn id="3" name="전략 등급"/>
    <x:tableColumn id="4" name="보수적 판매발생률 효과"/>
    <x:tableColumn id="5" name="보수적 매출 효과"/>
    <x:tableColumn id="6" name="최소 매칭 수"/>
    <x:tableColumn id="7" name="종합 점수"/>
    <x:tableColumn id="8" name="판정 이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05ee1becd24f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4" hidden="0" customWidth="1"/>
    <x:col min="8" max="8" width="4" hidden="0" customWidth="1"/>
  </x:cols>
  <x:sheetData>
    <x:row r="1" ht="32" customHeight="1">
      <x:c r="A1" s="4" t="str">
        <x:v>결합 프로모션 카테고리 우선순위</x:v>
      </x:c>
      <x:c r="B1" s="4"/>
      <x:c r="C1" s="4"/>
      <x:c r="D1" s="4"/>
      <x:c r="E1" s="4"/>
      <x:c r="F1" s="4"/>
      <x:c r="G1" s="4"/>
      <x:c r="H1" s="4"/>
    </x:row>
    <x:row r="3">
      <x:c r="A3" s="18" t="str">
        <x:v>분석 목적</x:v>
      </x:c>
      <x:c r="B3" s="19" t="str">
        <x:v>전단+진열을 모든 상품에 적용하지 않고, 추가 판매효과가 크고 안정적인 카테고리를 선별</x:v>
      </x:c>
    </x:row>
    <x:row r="4">
      <x:c r="A4" s="18" t="str">
        <x:v>방향성 후보</x:v>
      </x:c>
      <x:c r="B4" s="19" t="n">
        <x:f>COUNTIF('카테고리 판정'!$C$2:$C$253,"우선 적용")+COUNTIF('카테고리 판정'!$C$2:$C$253,"안정적 적용 후보")+COUNTIF('카테고리 판정'!$C$2:$C$253,"추가 실험 필요")</x:f>
        <x:v>102</x:v>
      </x:c>
    </x:row>
    <x:row r="5">
      <x:c r="A5" s="18" t="str">
        <x:v>신뢰도 통과</x:v>
      </x:c>
      <x:c r="B5" s="19" t="n">
        <x:f>COUNTIF('카테고리 판정'!$C$2:$C$253,"우선 적용")+COUNTIF('카테고리 판정'!$C$2:$C$253,"안정적 적용 후보")</x:f>
        <x:v>13</x:v>
      </x:c>
    </x:row>
    <x:row r="6">
      <x:c r="A6" s="18" t="str">
        <x:v>우선 적용</x:v>
      </x:c>
      <x:c r="B6" s="20" t="n">
        <x:f>COUNTIF('카테고리 판정'!$C$2:$C$253,"우선 적용")</x:f>
        <x:v>7</x:v>
      </x:c>
    </x:row>
    <x:row r="7">
      <x:c r="A7" s="18" t="str">
        <x:v>안정적 적용 후보</x:v>
      </x:c>
      <x:c r="B7" s="20" t="n">
        <x:f>COUNTIF('카테고리 판정'!$C$2:$C$253,"안정적 적용 후보")</x:f>
        <x:v>6</x:v>
      </x:c>
    </x:row>
    <x:row r="8">
      <x:c r="A8" s="18" t="str">
        <x:v>추가 실험 필요</x:v>
      </x:c>
      <x:c r="B8" s="19" t="n">
        <x:f>COUNTIF('카테고리 판정'!$C$2:$C$253,"추가 실험 필요")</x:f>
        <x:v>89</x:v>
      </x:c>
    </x:row>
    <x:row r="9">
      <x:c r="A9" s="18" t="str">
        <x:v>핵심 결론</x:v>
      </x:c>
      <x:c r="B9" s="19" t="str">
        <x:v>결합 효과가 큰 카테고리는 육가공·간식·음료 중심이며, 해당 카테고리에 프로모션 자원을 우선 배분하는 전략이 타당</x:v>
      </x:c>
    </x:row>
    <x:row r="10">
      <x:c r="A10" s="19"/>
      <x:c r="B10" s="19"/>
    </x:row>
    <x:row r="11">
      <x:c r="A11" s="21" t="str">
        <x:v>우선 적용 카테고리 7개</x:v>
      </x:c>
      <x:c r="B11" s="21"/>
      <x:c r="C11" s="9"/>
      <x:c r="D11" s="9"/>
      <x:c r="E11" s="9"/>
      <x:c r="F11" s="9"/>
      <x:c r="G11" s="9"/>
      <x:c r="H11" s="9"/>
    </x:row>
    <x:row r="12">
      <x:c r="A12" s="18" t="str">
        <x:v>DEPARTMENT</x:v>
      </x:c>
      <x:c r="B12" s="18" t="str">
        <x:v>COMMODITY_DESC</x:v>
      </x:c>
      <x:c r="C12" s="6" t="str">
        <x:v>보수적 판매발생률 효과</x:v>
      </x:c>
      <x:c r="D12" s="6" t="str">
        <x:v>보수적 매출 효과</x:v>
      </x:c>
      <x:c r="E12" s="6" t="str">
        <x:v>최소 매칭 수</x:v>
      </x:c>
      <x:c r="F12" s="6" t="str">
        <x:v>종합 점수</x:v>
      </x:c>
    </x:row>
    <x:row r="13">
      <x:c r="A13" s="19" t="str">
        <x:v>MEAT-PCKGD</x:v>
      </x:c>
      <x:c r="B13" s="19" t="str">
        <x:v>BACON</x:v>
      </x:c>
      <x:c r="C13" s="10" t="n">
        <x:v>0.014445892200100249</x:v>
      </x:c>
      <x:c r="D13" s="11" t="n">
        <x:v>0.08016339463333334</x:v>
      </x:c>
      <x:c r="E13" s="12" t="n">
        <x:v>9156</x:v>
      </x:c>
      <x:c r="F13" s="13" t="n">
        <x:v>0.7846153846153847</x:v>
      </x:c>
    </x:row>
    <x:row r="14">
      <x:c r="A14" s="19" t="str">
        <x:v>PASTRY</x:v>
      </x:c>
      <x:c r="B14" s="19" t="str">
        <x:v>PIES</x:v>
      </x:c>
      <x:c r="C14" s="10" t="n">
        <x:v>0.013999716134127956</x:v>
      </x:c>
      <x:c r="D14" s="11" t="n">
        <x:v>0.0866563359117647</x:v>
      </x:c>
      <x:c r="E14" s="12" t="n">
        <x:v>1611</x:v>
      </x:c>
      <x:c r="F14" s="13" t="n">
        <x:v>0.7538461538461538</x:v>
      </x:c>
    </x:row>
    <x:row r="15">
      <x:c r="A15" s="19" t="str">
        <x:v>MEAT-PCKGD</x:v>
      </x:c>
      <x:c r="B15" s="19" t="str">
        <x:v>BREAKFAST SAUSAGE/SANDWICHES</x:v>
      </x:c>
      <x:c r="C15" s="10" t="n">
        <x:v>0.011680428592724622</x:v>
      </x:c>
      <x:c r="D15" s="11" t="n">
        <x:v>0.049131036143211</x:v>
      </x:c>
      <x:c r="E15" s="12" t="n">
        <x:v>14188</x:v>
      </x:c>
      <x:c r="F15" s="13" t="n">
        <x:v>0.6923076923076923</x:v>
      </x:c>
    </x:row>
    <x:row r="16">
      <x:c r="A16" s="19" t="str">
        <x:v>MEAT-PCKGD</x:v>
      </x:c>
      <x:c r="B16" s="19" t="str">
        <x:v>LUNCHMEAT</x:v>
      </x:c>
      <x:c r="C16" s="10" t="n">
        <x:v>0.013677765653935407</x:v>
      </x:c>
      <x:c r="D16" s="11" t="n">
        <x:v>0.027972826250316454</x:v>
      </x:c>
      <x:c r="E16" s="12" t="n">
        <x:v>14241</x:v>
      </x:c>
      <x:c r="F16" s="13" t="n">
        <x:v>0.6461538461538462</x:v>
      </x:c>
    </x:row>
    <x:row r="17">
      <x:c r="A17" s="19" t="str">
        <x:v>MEAT-PCKGD</x:v>
      </x:c>
      <x:c r="B17" s="19" t="str">
        <x:v>DINNER SAUSAGE</x:v>
      </x:c>
      <x:c r="C17" s="10" t="n">
        <x:v>0.00816916607003509</x:v>
      </x:c>
      <x:c r="D17" s="11" t="n">
        <x:v>0.027375646398076922</x:v>
      </x:c>
      <x:c r="E17" s="12" t="n">
        <x:v>26328</x:v>
      </x:c>
      <x:c r="F17" s="13" t="n">
        <x:v>0.6000000000000001</x:v>
      </x:c>
    </x:row>
    <x:row r="18">
      <x:c r="A18" s="19" t="str">
        <x:v>GROCERY</x:v>
      </x:c>
      <x:c r="B18" s="19" t="str">
        <x:v>WAREHOUSE SNACKS</x:v>
      </x:c>
      <x:c r="C18" s="10" t="n">
        <x:v>0.015825637554805243</x:v>
      </x:c>
      <x:c r="D18" s="11" t="n">
        <x:v>0.020450939501666668</x:v>
      </x:c>
      <x:c r="E18" s="12" t="n">
        <x:v>7773</x:v>
      </x:c>
      <x:c r="F18" s="13" t="n">
        <x:v>0.5846153846153846</x:v>
      </x:c>
    </x:row>
    <x:row r="19">
      <x:c r="A19" s="19" t="str">
        <x:v>GROCERY</x:v>
      </x:c>
      <x:c r="B19" s="19" t="str">
        <x:v>SOFT DRINKS</x:v>
      </x:c>
      <x:c r="C19" s="10" t="n">
        <x:v>0.005432520503566299</x:v>
      </x:c>
      <x:c r="D19" s="11" t="n">
        <x:v>0.02094913895034168</x:v>
      </x:c>
      <x:c r="E19" s="12" t="n">
        <x:v>131657</x:v>
      </x:c>
      <x:c r="F19" s="13" t="n">
        <x:v>0.5384615384615385</x:v>
      </x:c>
    </x:row>
    <x:row r="20">
      <x:c r="A20" s="19"/>
      <x:c r="B20" s="19"/>
    </x:row>
    <x:row r="21">
      <x:c r="A21" s="19"/>
      <x:c r="B21" s="19"/>
    </x:row>
    <x:row r="22">
      <x:c r="A22" s="21" t="str">
        <x:v>선정 기준</x:v>
      </x:c>
      <x:c r="B22" s="21"/>
      <x:c r="C22" s="9"/>
      <x:c r="D22" s="9"/>
      <x:c r="E22" s="9"/>
      <x:c r="F22" s="9"/>
      <x:c r="G22" s="9"/>
      <x:c r="H22" s="9"/>
    </x:row>
    <x:row r="23">
      <x:c r="A23" s="18" t="str">
        <x:v>2단계 방향성</x:v>
      </x:c>
      <x:c r="B23" s="19" t="str">
        <x:v>결합−진열만과 결합−전단만에서 판매발생률·매출 평균이 모두 양수</x:v>
      </x:c>
    </x:row>
    <x:row r="24">
      <x:c r="A24" s="18" t="str">
        <x:v>최소 상품 수</x:v>
      </x:c>
      <x:c r="B24" s="19" t="str">
        <x:v>각 비교에서 20개 이상</x:v>
      </x:c>
    </x:row>
    <x:row r="25">
      <x:c r="A25" s="18" t="str">
        <x:v>최소 매칭 수</x:v>
      </x:c>
      <x:c r="B25" s="19" t="str">
        <x:v>각 비교에서 200건 이상</x:v>
      </x:c>
    </x:row>
    <x:row r="26">
      <x:c r="A26" s="18" t="str">
        <x:v>신뢰도</x:v>
      </x:c>
      <x:c r="B26" s="19" t="str">
        <x:v>각 비교의 판매발생률·매출 95% 신뢰구간 하한이 모두 0 초과</x:v>
      </x:c>
    </x:row>
    <x:row r="27">
      <x:c r="A27" s="18" t="str">
        <x:v>보수적 효과</x:v>
      </x:c>
      <x:c r="B27" s="19" t="str">
        <x:v>두 비교 효과 중 작은 값을 사용</x:v>
      </x:c>
    </x:row>
    <x:row r="28">
      <x:c r="A28" s="18" t="str">
        <x:v>우선순위 점수</x:v>
      </x:c>
      <x:c r="B28" s="19" t="str">
        <x:v>보수적 판매발생률 40% + 보수적 매출 40% + 적용 규모 20%</x:v>
      </x:c>
    </x:row>
    <x:row r="30">
      <x:c r="A30" s="17" t="str">
        <x:v>주의: 현재 데이터에는 프로모션 비용이 없으므로 수익성을 직접 확정할 수 없다. '우선 적용'은 비용 투입 전 파일럿 또는 예산 우선 검토 대상으로 해석한다.</x:v>
      </x:c>
      <x:c r="B30" s="17"/>
      <x:c r="C30" s="17"/>
      <x:c r="D30" s="17"/>
      <x:c r="E30" s="17"/>
      <x:c r="F30" s="17"/>
      <x:c r="G30" s="17"/>
      <x:c r="H30" s="17"/>
    </x:row>
    <x:row r="31">
      <x:c r="A31" s="17"/>
      <x:c r="B31" s="17"/>
      <x:c r="C31" s="17"/>
      <x:c r="D31" s="17"/>
      <x:c r="E31" s="17"/>
      <x:c r="F31" s="17"/>
      <x:c r="G31" s="17"/>
      <x:c r="H31" s="17"/>
    </x:row>
    <x:row r="32">
      <x:c r="A32" s="17"/>
      <x:c r="B32" s="17"/>
      <x:c r="C32" s="17"/>
      <x:c r="D32" s="17"/>
      <x:c r="E32" s="17"/>
      <x:c r="F32" s="17"/>
      <x:c r="G32" s="17"/>
      <x:c r="H32" s="17"/>
    </x:row>
  </x:sheetData>
  <x:mergeCells>
    <x:mergeCell ref="A1:H1"/>
    <x:mergeCell ref="A11:H11"/>
    <x:mergeCell ref="A22:H22"/>
    <x:mergeCell ref="A30:H3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55" hidden="0" customWidth="1"/>
  </x:cols>
  <x:sheetData>
    <x:row r="1">
      <x:c r="A1" s="22" t="str">
        <x:v>DEPARTMENT</x:v>
      </x:c>
      <x:c r="B1" s="23" t="str">
        <x:v>COMMODITY_DESC</x:v>
      </x:c>
      <x:c r="C1" s="23" t="str">
        <x:v>전략 등급</x:v>
      </x:c>
      <x:c r="D1" s="23" t="str">
        <x:v>보수적 판매발생률 효과</x:v>
      </x:c>
      <x:c r="E1" s="23" t="str">
        <x:v>보수적 매출 효과</x:v>
      </x:c>
      <x:c r="F1" s="23" t="str">
        <x:v>최소 매칭 수</x:v>
      </x:c>
      <x:c r="G1" s="23" t="str">
        <x:v>종합 점수</x:v>
      </x:c>
      <x:c r="H1" s="24" t="str">
        <x:v>판정 이유</x:v>
      </x:c>
    </x:row>
    <x:row r="2">
      <x:c r="A2" s="25" t="str">
        <x:v>MEAT-PCKGD</x:v>
      </x:c>
      <x:c r="B2" s="26" t="str">
        <x:v>BACON</x:v>
      </x:c>
      <x:c r="C2" s="26" t="str">
        <x:v>우선 적용</x:v>
      </x:c>
      <x:c r="D2" s="31" t="n">
        <x:v>0.014445892200100249</x:v>
      </x:c>
      <x:c r="E2" s="33" t="n">
        <x:v>0.08016339463333334</x:v>
      </x:c>
      <x:c r="F2" s="35" t="n">
        <x:v>9156</x:v>
      </x:c>
      <x:c r="G2" s="37" t="n">
        <x:v>0.7846153846153847</x:v>
      </x:c>
      <x:c r="H2" s="27" t="str">
        <x:v>두 단독 방식 대비 판매발생률·매출의 95% 신뢰구간이 모두 0보다 크고, 효과·규모 종합점수가 상위권</x:v>
      </x:c>
    </x:row>
    <x:row r="3">
      <x:c r="A3" s="25" t="str">
        <x:v>PASTRY</x:v>
      </x:c>
      <x:c r="B3" s="26" t="str">
        <x:v>PIES</x:v>
      </x:c>
      <x:c r="C3" s="26" t="str">
        <x:v>우선 적용</x:v>
      </x:c>
      <x:c r="D3" s="31" t="n">
        <x:v>0.013999716134127956</x:v>
      </x:c>
      <x:c r="E3" s="33" t="n">
        <x:v>0.0866563359117647</x:v>
      </x:c>
      <x:c r="F3" s="35" t="n">
        <x:v>1611</x:v>
      </x:c>
      <x:c r="G3" s="37" t="n">
        <x:v>0.7538461538461538</x:v>
      </x:c>
      <x:c r="H3" s="27" t="str">
        <x:v>두 단독 방식 대비 판매발생률·매출의 95% 신뢰구간이 모두 0보다 크고, 효과·규모 종합점수가 상위권</x:v>
      </x:c>
    </x:row>
    <x:row r="4">
      <x:c r="A4" s="25" t="str">
        <x:v>MEAT-PCKGD</x:v>
      </x:c>
      <x:c r="B4" s="26" t="str">
        <x:v>BREAKFAST SAUSAGE/SANDWICHES</x:v>
      </x:c>
      <x:c r="C4" s="26" t="str">
        <x:v>우선 적용</x:v>
      </x:c>
      <x:c r="D4" s="31" t="n">
        <x:v>0.011680428592724622</x:v>
      </x:c>
      <x:c r="E4" s="33" t="n">
        <x:v>0.049131036143211</x:v>
      </x:c>
      <x:c r="F4" s="35" t="n">
        <x:v>14188</x:v>
      </x:c>
      <x:c r="G4" s="37" t="n">
        <x:v>0.6923076923076923</x:v>
      </x:c>
      <x:c r="H4" s="27" t="str">
        <x:v>두 단독 방식 대비 판매발생률·매출의 95% 신뢰구간이 모두 0보다 크고, 효과·규모 종합점수가 상위권</x:v>
      </x:c>
    </x:row>
    <x:row r="5">
      <x:c r="A5" s="25" t="str">
        <x:v>MEAT-PCKGD</x:v>
      </x:c>
      <x:c r="B5" s="26" t="str">
        <x:v>LUNCHMEAT</x:v>
      </x:c>
      <x:c r="C5" s="26" t="str">
        <x:v>우선 적용</x:v>
      </x:c>
      <x:c r="D5" s="31" t="n">
        <x:v>0.013677765653935407</x:v>
      </x:c>
      <x:c r="E5" s="33" t="n">
        <x:v>0.027972826250316454</x:v>
      </x:c>
      <x:c r="F5" s="35" t="n">
        <x:v>14241</x:v>
      </x:c>
      <x:c r="G5" s="37" t="n">
        <x:v>0.6461538461538462</x:v>
      </x:c>
      <x:c r="H5" s="27" t="str">
        <x:v>두 단독 방식 대비 판매발생률·매출의 95% 신뢰구간이 모두 0보다 크고, 효과·규모 종합점수가 상위권</x:v>
      </x:c>
    </x:row>
    <x:row r="6">
      <x:c r="A6" s="25" t="str">
        <x:v>MEAT-PCKGD</x:v>
      </x:c>
      <x:c r="B6" s="26" t="str">
        <x:v>DINNER SAUSAGE</x:v>
      </x:c>
      <x:c r="C6" s="26" t="str">
        <x:v>우선 적용</x:v>
      </x:c>
      <x:c r="D6" s="31" t="n">
        <x:v>0.00816916607003509</x:v>
      </x:c>
      <x:c r="E6" s="33" t="n">
        <x:v>0.027375646398076922</x:v>
      </x:c>
      <x:c r="F6" s="35" t="n">
        <x:v>26328</x:v>
      </x:c>
      <x:c r="G6" s="37" t="n">
        <x:v>0.6000000000000001</x:v>
      </x:c>
      <x:c r="H6" s="27" t="str">
        <x:v>두 단독 방식 대비 판매발생률·매출의 95% 신뢰구간이 모두 0보다 크고, 효과·규모 종합점수가 상위권</x:v>
      </x:c>
    </x:row>
    <x:row r="7">
      <x:c r="A7" s="25" t="str">
        <x:v>GROCERY</x:v>
      </x:c>
      <x:c r="B7" s="26" t="str">
        <x:v>WAREHOUSE SNACKS</x:v>
      </x:c>
      <x:c r="C7" s="26" t="str">
        <x:v>우선 적용</x:v>
      </x:c>
      <x:c r="D7" s="31" t="n">
        <x:v>0.015825637554805243</x:v>
      </x:c>
      <x:c r="E7" s="33" t="n">
        <x:v>0.020450939501666668</x:v>
      </x:c>
      <x:c r="F7" s="35" t="n">
        <x:v>7773</x:v>
      </x:c>
      <x:c r="G7" s="37" t="n">
        <x:v>0.5846153846153846</x:v>
      </x:c>
      <x:c r="H7" s="27" t="str">
        <x:v>두 단독 방식 대비 판매발생률·매출의 95% 신뢰구간이 모두 0보다 크고, 효과·규모 종합점수가 상위권</x:v>
      </x:c>
    </x:row>
    <x:row r="8">
      <x:c r="A8" s="25" t="str">
        <x:v>GROCERY</x:v>
      </x:c>
      <x:c r="B8" s="26" t="str">
        <x:v>SOFT DRINKS</x:v>
      </x:c>
      <x:c r="C8" s="26" t="str">
        <x:v>우선 적용</x:v>
      </x:c>
      <x:c r="D8" s="31" t="n">
        <x:v>0.005432520503566299</x:v>
      </x:c>
      <x:c r="E8" s="33" t="n">
        <x:v>0.02094913895034168</x:v>
      </x:c>
      <x:c r="F8" s="35" t="n">
        <x:v>131657</x:v>
      </x:c>
      <x:c r="G8" s="37" t="n">
        <x:v>0.5384615384615385</x:v>
      </x:c>
      <x:c r="H8" s="27" t="str">
        <x:v>두 단독 방식 대비 판매발생률·매출의 95% 신뢰구간이 모두 0보다 크고, 효과·규모 종합점수가 상위권</x:v>
      </x:c>
    </x:row>
    <x:row r="9">
      <x:c r="A9" s="25" t="str">
        <x:v>MEAT-PCKGD</x:v>
      </x:c>
      <x:c r="B9" s="26" t="str">
        <x:v>MEAT - MISC</x:v>
      </x:c>
      <x:c r="C9" s="26" t="str">
        <x:v>안정적 적용 후보</x:v>
      </x:c>
      <x:c r="D9" s="31" t="n">
        <x:v>0.005236722355979507</x:v>
      </x:c>
      <x:c r="E9" s="33" t="n">
        <x:v>0.03480799268536586</x:v>
      </x:c>
      <x:c r="F9" s="35" t="n">
        <x:v>12777</x:v>
      </x:c>
      <x:c r="G9" s="37" t="n">
        <x:v>0.49230769230769234</x:v>
      </x:c>
      <x:c r="H9" s="27" t="str">
        <x:v>두 단독 방식 대비 판매발생률·매출의 95% 신뢰구간이 모두 0보다 크지만 우선 적용군보다 효과·규모 점수가 낮음</x:v>
      </x:c>
    </x:row>
    <x:row r="10">
      <x:c r="A10" s="25" t="str">
        <x:v>SEAFOOD-PCKGD</x:v>
      </x:c>
      <x:c r="B10" s="26" t="str">
        <x:v>SEAFOOD - FROZEN</x:v>
      </x:c>
      <x:c r="C10" s="26" t="str">
        <x:v>안정적 적용 후보</x:v>
      </x:c>
      <x:c r="D10" s="31" t="n">
        <x:v>0.004837106242278153</x:v>
      </x:c>
      <x:c r="E10" s="33" t="n">
        <x:v>0.031075783842639596</x:v>
      </x:c>
      <x:c r="F10" s="35" t="n">
        <x:v>19632</x:v>
      </x:c>
      <x:c r="G10" s="37" t="n">
        <x:v>0.47692307692307695</x:v>
      </x:c>
      <x:c r="H10" s="27" t="str">
        <x:v>두 단독 방식 대비 판매발생률·매출의 95% 신뢰구간이 모두 0보다 크지만 우선 적용군보다 효과·규모 점수가 낮음</x:v>
      </x:c>
    </x:row>
    <x:row r="11">
      <x:c r="A11" s="25" t="str">
        <x:v>GROCERY</x:v>
      </x:c>
      <x:c r="B11" s="26" t="str">
        <x:v>COLD CEREAL</x:v>
      </x:c>
      <x:c r="C11" s="26" t="str">
        <x:v>안정적 적용 후보</x:v>
      </x:c>
      <x:c r="D11" s="31" t="n">
        <x:v>0.007771796005277867</x:v>
      </x:c>
      <x:c r="E11" s="33" t="n">
        <x:v>0.017234006012875534</x:v>
      </x:c>
      <x:c r="F11" s="35" t="n">
        <x:v>25915</x:v>
      </x:c>
      <x:c r="G11" s="37" t="n">
        <x:v>0.46153846153846156</x:v>
      </x:c>
      <x:c r="H11" s="27" t="str">
        <x:v>두 단독 방식 대비 판매발생률·매출의 95% 신뢰구간이 모두 0보다 크지만 우선 적용군보다 효과·규모 점수가 낮음</x:v>
      </x:c>
    </x:row>
    <x:row r="12">
      <x:c r="A12" s="25" t="str">
        <x:v>GROCERY</x:v>
      </x:c>
      <x:c r="B12" s="26" t="str">
        <x:v>BAG SNACKS</x:v>
      </x:c>
      <x:c r="C12" s="26" t="str">
        <x:v>안정적 적용 후보</x:v>
      </x:c>
      <x:c r="D12" s="31" t="n">
        <x:v>0.005515592255419261</x:v>
      </x:c>
      <x:c r="E12" s="33" t="n">
        <x:v>0.009926724735973837</x:v>
      </x:c>
      <x:c r="F12" s="35" t="n">
        <x:v>115241</x:v>
      </x:c>
      <x:c r="G12" s="37" t="n">
        <x:v>0.4307692307692308</x:v>
      </x:c>
      <x:c r="H12" s="27" t="str">
        <x:v>두 단독 방식 대비 판매발생률·매출의 95% 신뢰구간이 모두 0보다 크지만 우선 적용군보다 효과·규모 점수가 낮음</x:v>
      </x:c>
    </x:row>
    <x:row r="13">
      <x:c r="A13" s="25" t="str">
        <x:v>GROCERY</x:v>
      </x:c>
      <x:c r="B13" s="26" t="str">
        <x:v>ICE CREAM/MILK/SHERBTS</x:v>
      </x:c>
      <x:c r="C13" s="26" t="str">
        <x:v>안정적 적용 후보</x:v>
      </x:c>
      <x:c r="D13" s="31" t="n">
        <x:v>0.0035818770180587266</x:v>
      </x:c>
      <x:c r="E13" s="33" t="n">
        <x:v>0.010712469800892856</x:v>
      </x:c>
      <x:c r="F13" s="35" t="n">
        <x:v>59983</x:v>
      </x:c>
      <x:c r="G13" s="37" t="n">
        <x:v>0.2923076923076923</x:v>
      </x:c>
      <x:c r="H13" s="27" t="str">
        <x:v>두 단독 방식 대비 판매발생률·매출의 95% 신뢰구간이 모두 0보다 크지만 우선 적용군보다 효과·규모 점수가 낮음</x:v>
      </x:c>
    </x:row>
    <x:row r="14">
      <x:c r="A14" s="25" t="str">
        <x:v>DRUG GM</x:v>
      </x:c>
      <x:c r="B14" s="26" t="str">
        <x:v>CANDY - CHECKLANE</x:v>
      </x:c>
      <x:c r="C14" s="26" t="str">
        <x:v>안정적 적용 후보</x:v>
      </x:c>
      <x:c r="D14" s="31" t="n">
        <x:v>0.004601602155328645</x:v>
      </x:c>
      <x:c r="E14" s="33" t="n">
        <x:v>0.0021209548187475094</x:v>
      </x:c>
      <x:c r="F14" s="35" t="n">
        <x:v>33900</x:v>
      </x:c>
      <x:c r="G14" s="37" t="n">
        <x:v>0.24615384615384617</x:v>
      </x:c>
      <x:c r="H14" s="27" t="str">
        <x:v>두 단독 방식 대비 판매발생률·매출의 95% 신뢰구간이 모두 0보다 크지만 우선 적용군보다 효과·규모 점수가 낮음</x:v>
      </x:c>
    </x:row>
    <x:row r="15">
      <x:c r="A15" s="25" t="str">
        <x:v>PRODUCE</x:v>
      </x:c>
      <x:c r="B15" s="26" t="str">
        <x:v>BERRIES</x:v>
      </x:c>
      <x:c r="C15" s="26" t="str">
        <x:v>추가 실험 필요</x:v>
      </x:c>
      <x:c r="D15" s="31" t="n">
        <x:v>0.0074248120300751865</x:v>
      </x:c>
      <x:c r="E15" s="33" t="n">
        <x:v>0.2005867357142857</x:v>
      </x:c>
      <x:c r="F15" s="35" t="n">
        <x:v>178</x:v>
      </x:c>
      <x:c r="G15" s="37"/>
      <x:c r="H15" s="27" t="str">
        <x:v>평균 효과 방향은 모두 양수이나 표본 또는 신뢰구간 기준을 통과하지 못함</x:v>
      </x:c>
    </x:row>
    <x:row r="16">
      <x:c r="A16" s="25" t="str">
        <x:v>FLORAL</x:v>
      </x:c>
      <x:c r="B16" s="26" t="str">
        <x:v>ROSES</x:v>
      </x:c>
      <x:c r="C16" s="26" t="str">
        <x:v>추가 실험 필요</x:v>
      </x:c>
      <x:c r="D16" s="31" t="n">
        <x:v>0.0111111111111111</x:v>
      </x:c>
      <x:c r="E16" s="33" t="n">
        <x:v>0.111</x:v>
      </x:c>
      <x:c r="F16" s="35" t="n">
        <x:v>41</x:v>
      </x:c>
      <x:c r="G16" s="37"/>
      <x:c r="H16" s="27" t="str">
        <x:v>평균 효과 방향은 모두 양수이나 표본 또는 신뢰구간 기준을 통과하지 못함</x:v>
      </x:c>
    </x:row>
    <x:row r="17">
      <x:c r="A17" s="25" t="str">
        <x:v>SEAFOOD</x:v>
      </x:c>
      <x:c r="B17" s="26" t="str">
        <x:v>SEAFOOD - FROZEN</x:v>
      </x:c>
      <x:c r="C17" s="26" t="str">
        <x:v>추가 실험 필요</x:v>
      </x:c>
      <x:c r="D17" s="31" t="n">
        <x:v>0.006349206349206337</x:v>
      </x:c>
      <x:c r="E17" s="33" t="n">
        <x:v>0.08316666333333333</x:v>
      </x:c>
      <x:c r="F17" s="35" t="n">
        <x:v>56</x:v>
      </x:c>
      <x:c r="G17" s="37"/>
      <x:c r="H17" s="27" t="str">
        <x:v>평균 효과 방향은 모두 양수이나 표본 또는 신뢰구간 기준을 통과하지 못함</x:v>
      </x:c>
    </x:row>
    <x:row r="18">
      <x:c r="A18" s="25" t="str">
        <x:v>MEAT</x:v>
      </x:c>
      <x:c r="B18" s="26" t="str">
        <x:v>BEEF</x:v>
      </x:c>
      <x:c r="C18" s="26" t="str">
        <x:v>추가 실험 필요</x:v>
      </x:c>
      <x:c r="D18" s="31" t="n">
        <x:v>0.013983763983763978</x:v>
      </x:c>
      <x:c r="E18" s="33" t="n">
        <x:v>0.08196388766666667</x:v>
      </x:c>
      <x:c r="F18" s="35" t="n">
        <x:v>439</x:v>
      </x:c>
      <x:c r="G18" s="37"/>
      <x:c r="H18" s="27" t="str">
        <x:v>평균 효과 방향은 모두 양수이나 표본 또는 신뢰구간 기준을 통과하지 못함</x:v>
      </x:c>
    </x:row>
    <x:row r="19">
      <x:c r="A19" s="25" t="str">
        <x:v>GROCERY</x:v>
      </x:c>
      <x:c r="B19" s="26" t="str">
        <x:v>PAPER TOWELS</x:v>
      </x:c>
      <x:c r="C19" s="26" t="str">
        <x:v>추가 실험 필요</x:v>
      </x:c>
      <x:c r="D19" s="31" t="n">
        <x:v>0.009499358956552443</x:v>
      </x:c>
      <x:c r="E19" s="33" t="n">
        <x:v>0.06926236796774193</x:v>
      </x:c>
      <x:c r="F19" s="35" t="n">
        <x:v>2697</x:v>
      </x:c>
      <x:c r="G19" s="37"/>
      <x:c r="H19" s="27" t="str">
        <x:v>평균 효과 방향은 모두 양수이나 표본 또는 신뢰구간 기준을 통과하지 못함</x:v>
      </x:c>
    </x:row>
    <x:row r="20">
      <x:c r="A20" s="25" t="str">
        <x:v>GROCERY</x:v>
      </x:c>
      <x:c r="B20" s="26" t="str">
        <x:v>SUGARS/SWEETNERS</x:v>
      </x:c>
      <x:c r="C20" s="26" t="str">
        <x:v>추가 실험 필요</x:v>
      </x:c>
      <x:c r="D20" s="31" t="n">
        <x:v>0.0216704552077869</x:v>
      </x:c>
      <x:c r="E20" s="33" t="n">
        <x:v>0.05748452686666667</x:v>
      </x:c>
      <x:c r="F20" s="35" t="n">
        <x:v>482</x:v>
      </x:c>
      <x:c r="G20" s="37"/>
      <x:c r="H20" s="27" t="str">
        <x:v>평균 효과 방향은 모두 양수이나 표본 또는 신뢰구간 기준을 통과하지 못함</x:v>
      </x:c>
    </x:row>
    <x:row r="21">
      <x:c r="A21" s="25" t="str">
        <x:v>PASTRY</x:v>
      </x:c>
      <x:c r="B21" s="26" t="str">
        <x:v>BREAKFAST SWEETS</x:v>
      </x:c>
      <x:c r="C21" s="26" t="str">
        <x:v>추가 실험 필요</x:v>
      </x:c>
      <x:c r="D21" s="31" t="n">
        <x:v>0.026842026641130678</x:v>
      </x:c>
      <x:c r="E21" s="33" t="n">
        <x:v>0.050198524300000005</x:v>
      </x:c>
      <x:c r="F21" s="35" t="n">
        <x:v>747</x:v>
      </x:c>
      <x:c r="G21" s="37"/>
      <x:c r="H21" s="27" t="str">
        <x:v>평균 효과 방향은 모두 양수이나 표본 또는 신뢰구간 기준을 통과하지 못함</x:v>
      </x:c>
    </x:row>
    <x:row r="22">
      <x:c r="A22" s="25" t="str">
        <x:v>GROCERY</x:v>
      </x:c>
      <x:c r="B22" s="26" t="str">
        <x:v>BUTTER</x:v>
      </x:c>
      <x:c r="C22" s="26" t="str">
        <x:v>추가 실험 필요</x:v>
      </x:c>
      <x:c r="D22" s="31" t="n">
        <x:v>0.013727896450725878</x:v>
      </x:c>
      <x:c r="E22" s="33" t="n">
        <x:v>0.04270280203571429</x:v>
      </x:c>
      <x:c r="F22" s="35" t="n">
        <x:v>5138</x:v>
      </x:c>
      <x:c r="G22" s="37"/>
      <x:c r="H22" s="27" t="str">
        <x:v>평균 효과 방향은 모두 양수이나 표본 또는 신뢰구간 기준을 통과하지 못함</x:v>
      </x:c>
    </x:row>
    <x:row r="23">
      <x:c r="A23" s="25" t="str">
        <x:v>GROCERY</x:v>
      </x:c>
      <x:c r="B23" s="26" t="str">
        <x:v>MISC WINE</x:v>
      </x:c>
      <x:c r="C23" s="26" t="str">
        <x:v>추가 실험 필요</x:v>
      </x:c>
      <x:c r="D23" s="31" t="n">
        <x:v>0.002418582375478933</x:v>
      </x:c>
      <x:c r="E23" s="33" t="n">
        <x:v>0.04244228666666666</x:v>
      </x:c>
      <x:c r="F23" s="35" t="n">
        <x:v>189</x:v>
      </x:c>
      <x:c r="G23" s="37"/>
      <x:c r="H23" s="27" t="str">
        <x:v>평균 효과 방향은 모두 양수이나 표본 또는 신뢰구간 기준을 통과하지 못함</x:v>
      </x:c>
    </x:row>
    <x:row r="24">
      <x:c r="A24" s="25" t="str">
        <x:v>GROCERY</x:v>
      </x:c>
      <x:c r="B24" s="26" t="str">
        <x:v>BATH TISSUES</x:v>
      </x:c>
      <x:c r="C24" s="26" t="str">
        <x:v>추가 실험 필요</x:v>
      </x:c>
      <x:c r="D24" s="31" t="n">
        <x:v>0.0011640334482808444</x:v>
      </x:c>
      <x:c r="E24" s="33" t="n">
        <x:v>0.03701513054320988</x:v>
      </x:c>
      <x:c r="F24" s="35" t="n">
        <x:v>9780</x:v>
      </x:c>
      <x:c r="G24" s="37"/>
      <x:c r="H24" s="27" t="str">
        <x:v>평균 효과 방향은 모두 양수이나 표본 또는 신뢰구간 기준을 통과하지 못함</x:v>
      </x:c>
    </x:row>
    <x:row r="25">
      <x:c r="A25" s="25" t="str">
        <x:v>MEAT</x:v>
      </x:c>
      <x:c r="B25" s="26" t="str">
        <x:v>CHICKEN</x:v>
      </x:c>
      <x:c r="C25" s="26" t="str">
        <x:v>추가 실험 필요</x:v>
      </x:c>
      <x:c r="D25" s="31" t="n">
        <x:v>0.0052910052910052855</x:v>
      </x:c>
      <x:c r="E25" s="33" t="n">
        <x:v>0.036984124285714286</x:v>
      </x:c>
      <x:c r="F25" s="35" t="n">
        <x:v>78</x:v>
      </x:c>
      <x:c r="G25" s="37"/>
      <x:c r="H25" s="27" t="str">
        <x:v>평균 효과 방향은 모두 양수이나 표본 또는 신뢰구간 기준을 통과하지 못함</x:v>
      </x:c>
    </x:row>
    <x:row r="26">
      <x:c r="A26" s="25" t="str">
        <x:v>DELI</x:v>
      </x:c>
      <x:c r="B26" s="26" t="str">
        <x:v>PREPARED FOOD</x:v>
      </x:c>
      <x:c r="C26" s="26" t="str">
        <x:v>추가 실험 필요</x:v>
      </x:c>
      <x:c r="D26" s="31" t="n">
        <x:v>0.008467657896491924</x:v>
      </x:c>
      <x:c r="E26" s="33" t="n">
        <x:v>0.03470808461538462</x:v>
      </x:c>
      <x:c r="F26" s="35" t="n">
        <x:v>381</x:v>
      </x:c>
      <x:c r="G26" s="37"/>
      <x:c r="H26" s="27" t="str">
        <x:v>평균 효과 방향은 모두 양수이나 표본 또는 신뢰구간 기준을 통과하지 못함</x:v>
      </x:c>
    </x:row>
    <x:row r="27">
      <x:c r="A27" s="25" t="str">
        <x:v>MEAT-PCKGD</x:v>
      </x:c>
      <x:c r="B27" s="26" t="str">
        <x:v>HOT DOGS</x:v>
      </x:c>
      <x:c r="C27" s="26" t="str">
        <x:v>추가 실험 필요</x:v>
      </x:c>
      <x:c r="D27" s="31" t="n">
        <x:v>0.01061614882360106</x:v>
      </x:c>
      <x:c r="E27" s="33" t="n">
        <x:v>0.029031347909090906</x:v>
      </x:c>
      <x:c r="F27" s="35" t="n">
        <x:v>7929</x:v>
      </x:c>
      <x:c r="G27" s="37"/>
      <x:c r="H27" s="27" t="str">
        <x:v>평균 효과 방향은 모두 양수이나 표본 또는 신뢰구간 기준을 통과하지 못함</x:v>
      </x:c>
    </x:row>
    <x:row r="28">
      <x:c r="A28" s="25" t="str">
        <x:v>GROCERY</x:v>
      </x:c>
      <x:c r="B28" s="26" t="str">
        <x:v>PASTA SAUCE</x:v>
      </x:c>
      <x:c r="C28" s="26" t="str">
        <x:v>추가 실험 필요</x:v>
      </x:c>
      <x:c r="D28" s="31" t="n">
        <x:v>0.009094126085360756</x:v>
      </x:c>
      <x:c r="E28" s="33" t="n">
        <x:v>0.02721028567241379</x:v>
      </x:c>
      <x:c r="F28" s="35" t="n">
        <x:v>1650</x:v>
      </x:c>
      <x:c r="G28" s="37"/>
      <x:c r="H28" s="27" t="str">
        <x:v>평균 효과 방향은 모두 양수이나 표본 또는 신뢰구간 기준을 통과하지 못함</x:v>
      </x:c>
    </x:row>
    <x:row r="29">
      <x:c r="A29" s="25" t="str">
        <x:v>MEAT-PCKGD</x:v>
      </x:c>
      <x:c r="B29" s="26" t="str">
        <x:v>HEAT/SERVE</x:v>
      </x:c>
      <x:c r="C29" s="26" t="str">
        <x:v>추가 실험 필요</x:v>
      </x:c>
      <x:c r="D29" s="31" t="n">
        <x:v>0.00799601783432282</x:v>
      </x:c>
      <x:c r="E29" s="33" t="n">
        <x:v>0.02700673969166667</x:v>
      </x:c>
      <x:c r="F29" s="35" t="n">
        <x:v>8824</x:v>
      </x:c>
      <x:c r="G29" s="37"/>
      <x:c r="H29" s="27" t="str">
        <x:v>평균 효과 방향은 모두 양수이나 표본 또는 신뢰구간 기준을 통과하지 못함</x:v>
      </x:c>
    </x:row>
    <x:row r="30">
      <x:c r="A30" s="25" t="str">
        <x:v>GROCERY</x:v>
      </x:c>
      <x:c r="B30" s="26" t="str">
        <x:v>AIR CARE</x:v>
      </x:c>
      <x:c r="C30" s="26" t="str">
        <x:v>추가 실험 필요</x:v>
      </x:c>
      <x:c r="D30" s="31" t="n">
        <x:v>0.007617910464921554</x:v>
      </x:c>
      <x:c r="E30" s="33" t="n">
        <x:v>0.02656870997540984</x:v>
      </x:c>
      <x:c r="F30" s="35" t="n">
        <x:v>253</x:v>
      </x:c>
      <x:c r="G30" s="37"/>
      <x:c r="H30" s="27" t="str">
        <x:v>평균 효과 방향은 모두 양수이나 표본 또는 신뢰구간 기준을 통과하지 못함</x:v>
      </x:c>
    </x:row>
    <x:row r="31">
      <x:c r="A31" s="25" t="str">
        <x:v>GROCERY</x:v>
      </x:c>
      <x:c r="B31" s="26" t="str">
        <x:v>DRY MIX DESSERTS</x:v>
      </x:c>
      <x:c r="C31" s="26" t="str">
        <x:v>추가 실험 필요</x:v>
      </x:c>
      <x:c r="D31" s="31" t="n">
        <x:v>0.01827748714252722</x:v>
      </x:c>
      <x:c r="E31" s="33" t="n">
        <x:v>0.024010226694117648</x:v>
      </x:c>
      <x:c r="F31" s="35" t="n">
        <x:v>5349</x:v>
      </x:c>
      <x:c r="G31" s="37"/>
      <x:c r="H31" s="27" t="str">
        <x:v>평균 효과 방향은 모두 양수이나 표본 또는 신뢰구간 기준을 통과하지 못함</x:v>
      </x:c>
    </x:row>
    <x:row r="32">
      <x:c r="A32" s="25" t="str">
        <x:v>COUP/STR &amp; MFG</x:v>
      </x:c>
      <x:c r="B32" s="26" t="str">
        <x:v>COUPONS/STORE &amp; MFG</x:v>
      </x:c>
      <x:c r="C32" s="26" t="str">
        <x:v>추가 실험 필요</x:v>
      </x:c>
      <x:c r="D32" s="31" t="n">
        <x:v>0.00669642857142855</x:v>
      </x:c>
      <x:c r="E32" s="33" t="n">
        <x:v>0.020703124666666666</x:v>
      </x:c>
      <x:c r="F32" s="35" t="n">
        <x:v>134</x:v>
      </x:c>
      <x:c r="G32" s="37"/>
      <x:c r="H32" s="27" t="str">
        <x:v>평균 효과 방향은 모두 양수이나 표본 또는 신뢰구간 기준을 통과하지 못함</x:v>
      </x:c>
    </x:row>
    <x:row r="33">
      <x:c r="A33" s="25" t="str">
        <x:v>GROCERY</x:v>
      </x:c>
      <x:c r="B33" s="26" t="str">
        <x:v>WATER - CARBONATED/FLVRD DRINK</x:v>
      </x:c>
      <x:c r="C33" s="26" t="str">
        <x:v>추가 실험 필요</x:v>
      </x:c>
      <x:c r="D33" s="31" t="n">
        <x:v>0.0050958461445975755</x:v>
      </x:c>
      <x:c r="E33" s="33" t="n">
        <x:v>0.019262730950980394</x:v>
      </x:c>
      <x:c r="F33" s="35" t="n">
        <x:v>7375</x:v>
      </x:c>
      <x:c r="G33" s="37"/>
      <x:c r="H33" s="27" t="str">
        <x:v>평균 효과 방향은 모두 양수이나 표본 또는 신뢰구간 기준을 통과하지 못함</x:v>
      </x:c>
    </x:row>
    <x:row r="34">
      <x:c r="A34" s="25" t="str">
        <x:v>MEAT</x:v>
      </x:c>
      <x:c r="B34" s="26" t="str">
        <x:v>TURKEY</x:v>
      </x:c>
      <x:c r="C34" s="26" t="str">
        <x:v>추가 실험 필요</x:v>
      </x:c>
      <x:c r="D34" s="31" t="n">
        <x:v>0.015507518796992473</x:v>
      </x:c>
      <x:c r="E34" s="33" t="n">
        <x:v>0.018153202500000007</x:v>
      </x:c>
      <x:c r="F34" s="35" t="n">
        <x:v>39</x:v>
      </x:c>
      <x:c r="G34" s="37"/>
      <x:c r="H34" s="27" t="str">
        <x:v>평균 효과 방향은 모두 양수이나 표본 또는 신뢰구간 기준을 통과하지 못함</x:v>
      </x:c>
    </x:row>
    <x:row r="35">
      <x:c r="A35" s="25" t="str">
        <x:v>PASTRY</x:v>
      </x:c>
      <x:c r="B35" s="26" t="str">
        <x:v>CAKES</x:v>
      </x:c>
      <x:c r="C35" s="26" t="str">
        <x:v>추가 실험 필요</x:v>
      </x:c>
      <x:c r="D35" s="31" t="n">
        <x:v>0.003480291638186374</x:v>
      </x:c>
      <x:c r="E35" s="33" t="n">
        <x:v>0.01786306578787879</x:v>
      </x:c>
      <x:c r="F35" s="35" t="n">
        <x:v>357</x:v>
      </x:c>
      <x:c r="G35" s="37"/>
      <x:c r="H35" s="27" t="str">
        <x:v>평균 효과 방향은 모두 양수이나 표본 또는 신뢰구간 기준을 통과하지 못함</x:v>
      </x:c>
    </x:row>
    <x:row r="36">
      <x:c r="A36" s="25" t="str">
        <x:v>GROCERY</x:v>
      </x:c>
      <x:c r="B36" s="26" t="str">
        <x:v>CANNED JUICES</x:v>
      </x:c>
      <x:c r="C36" s="26" t="str">
        <x:v>추가 실험 필요</x:v>
      </x:c>
      <x:c r="D36" s="31" t="n">
        <x:v>0.003478842773901744</x:v>
      </x:c>
      <x:c r="E36" s="33" t="n">
        <x:v>0.016248453013636362</x:v>
      </x:c>
      <x:c r="F36" s="35" t="n">
        <x:v>16086</x:v>
      </x:c>
      <x:c r="G36" s="37"/>
      <x:c r="H36" s="27" t="str">
        <x:v>평균 효과 방향은 모두 양수이나 표본 또는 신뢰구간 기준을 통과하지 못함</x:v>
      </x:c>
    </x:row>
    <x:row r="37">
      <x:c r="A37" s="25" t="str">
        <x:v>GROCERY</x:v>
      </x:c>
      <x:c r="B37" s="26" t="str">
        <x:v>DRY BN/VEG/POTATO/RICE</x:v>
      </x:c>
      <x:c r="C37" s="26" t="str">
        <x:v>추가 실험 필요</x:v>
      </x:c>
      <x:c r="D37" s="31" t="n">
        <x:v>0.010027008338243926</x:v>
      </x:c>
      <x:c r="E37" s="33" t="n">
        <x:v>0.015351063553672314</x:v>
      </x:c>
      <x:c r="F37" s="35" t="n">
        <x:v>1966</x:v>
      </x:c>
      <x:c r="G37" s="37"/>
      <x:c r="H37" s="27" t="str">
        <x:v>평균 효과 방향은 모두 양수이나 표본 또는 신뢰구간 기준을 통과하지 못함</x:v>
      </x:c>
    </x:row>
    <x:row r="38">
      <x:c r="A38" s="25" t="str">
        <x:v>GROCERY</x:v>
      </x:c>
      <x:c r="B38" s="26" t="str">
        <x:v>CONDIMENTS/SAUCES</x:v>
      </x:c>
      <x:c r="C38" s="26" t="str">
        <x:v>추가 실험 필요</x:v>
      </x:c>
      <x:c r="D38" s="31" t="n">
        <x:v>0.0058248606351513675</x:v>
      </x:c>
      <x:c r="E38" s="33" t="n">
        <x:v>0.01528069921987952</x:v>
      </x:c>
      <x:c r="F38" s="35" t="n">
        <x:v>3985</x:v>
      </x:c>
      <x:c r="G38" s="37"/>
      <x:c r="H38" s="27" t="str">
        <x:v>평균 효과 방향은 모두 양수이나 표본 또는 신뢰구간 기준을 통과하지 못함</x:v>
      </x:c>
    </x:row>
    <x:row r="39">
      <x:c r="A39" s="25" t="str">
        <x:v>GROCERY</x:v>
      </x:c>
      <x:c r="B39" s="26" t="str">
        <x:v>HOT CEREAL</x:v>
      </x:c>
      <x:c r="C39" s="26" t="str">
        <x:v>추가 실험 필요</x:v>
      </x:c>
      <x:c r="D39" s="31" t="n">
        <x:v>0.0075187969924812</x:v>
      </x:c>
      <x:c r="E39" s="33" t="n">
        <x:v>0.015037594285714285</x:v>
      </x:c>
      <x:c r="F39" s="35" t="n">
        <x:v>118</x:v>
      </x:c>
      <x:c r="G39" s="37"/>
      <x:c r="H39" s="27" t="str">
        <x:v>평균 효과 방향은 모두 양수이나 표본 또는 신뢰구간 기준을 통과하지 못함</x:v>
      </x:c>
    </x:row>
    <x:row r="40">
      <x:c r="A40" s="25" t="str">
        <x:v>GROCERY</x:v>
      </x:c>
      <x:c r="B40" s="26" t="str">
        <x:v>SOUP</x:v>
      </x:c>
      <x:c r="C40" s="26" t="str">
        <x:v>추가 실험 필요</x:v>
      </x:c>
      <x:c r="D40" s="31" t="n">
        <x:v>0.006786806778426336</x:v>
      </x:c>
      <x:c r="E40" s="33" t="n">
        <x:v>0.014629075539917694</x:v>
      </x:c>
      <x:c r="F40" s="35" t="n">
        <x:v>11110</x:v>
      </x:c>
      <x:c r="G40" s="37"/>
      <x:c r="H40" s="27" t="str">
        <x:v>평균 효과 방향은 모두 양수이나 표본 또는 신뢰구간 기준을 통과하지 못함</x:v>
      </x:c>
    </x:row>
    <x:row r="41">
      <x:c r="A41" s="25" t="str">
        <x:v>COSMETICS</x:v>
      </x:c>
      <x:c r="B41" s="26" t="str">
        <x:v>BATH</x:v>
      </x:c>
      <x:c r="C41" s="26" t="str">
        <x:v>추가 실험 필요</x:v>
      </x:c>
      <x:c r="D41" s="31" t="n">
        <x:v>0.002976190476190475</x:v>
      </x:c>
      <x:c r="E41" s="33" t="n">
        <x:v>0.013363095</x:v>
      </x:c>
      <x:c r="F41" s="35" t="n">
        <x:v>34</x:v>
      </x:c>
      <x:c r="G41" s="37"/>
      <x:c r="H41" s="27" t="str">
        <x:v>평균 효과 방향은 모두 양수이나 표본 또는 신뢰구간 기준을 통과하지 못함</x:v>
      </x:c>
    </x:row>
    <x:row r="42">
      <x:c r="A42" s="25" t="str">
        <x:v>DRUG GM</x:v>
      </x:c>
      <x:c r="B42" s="26" t="str">
        <x:v>BATTERIES</x:v>
      </x:c>
      <x:c r="C42" s="26" t="str">
        <x:v>추가 실험 필요</x:v>
      </x:c>
      <x:c r="D42" s="31" t="n">
        <x:v>0.0008525129303097635</x:v>
      </x:c>
      <x:c r="E42" s="33" t="n">
        <x:v>0.013133785257575756</x:v>
      </x:c>
      <x:c r="F42" s="35" t="n">
        <x:v>12813</x:v>
      </x:c>
      <x:c r="G42" s="37"/>
      <x:c r="H42" s="27" t="str">
        <x:v>평균 효과 방향은 모두 양수이나 표본 또는 신뢰구간 기준을 통과하지 못함</x:v>
      </x:c>
    </x:row>
    <x:row r="43">
      <x:c r="A43" s="25" t="str">
        <x:v>GROCERY</x:v>
      </x:c>
      <x:c r="B43" s="26" t="str">
        <x:v>MILK BY-PRODUCTS</x:v>
      </x:c>
      <x:c r="C43" s="26" t="str">
        <x:v>추가 실험 필요</x:v>
      </x:c>
      <x:c r="D43" s="31" t="n">
        <x:v>0.007020350117270323</x:v>
      </x:c>
      <x:c r="E43" s="33" t="n">
        <x:v>0.012992955757894735</x:v>
      </x:c>
      <x:c r="F43" s="35" t="n">
        <x:v>6020</x:v>
      </x:c>
      <x:c r="G43" s="37"/>
      <x:c r="H43" s="27" t="str">
        <x:v>평균 효과 방향은 모두 양수이나 표본 또는 신뢰구간 기준을 통과하지 못함</x:v>
      </x:c>
    </x:row>
    <x:row r="44">
      <x:c r="A44" s="25" t="str">
        <x:v>DRUG GM</x:v>
      </x:c>
      <x:c r="B44" s="26" t="str">
        <x:v>CHRISTMAS  SEASONAL</x:v>
      </x:c>
      <x:c r="C44" s="26" t="str">
        <x:v>추가 실험 필요</x:v>
      </x:c>
      <x:c r="D44" s="31" t="n">
        <x:v>0.0037626086101428956</x:v>
      </x:c>
      <x:c r="E44" s="33" t="n">
        <x:v>0.012848803154362418</x:v>
      </x:c>
      <x:c r="F44" s="35" t="n">
        <x:v>690</x:v>
      </x:c>
      <x:c r="G44" s="37"/>
      <x:c r="H44" s="27" t="str">
        <x:v>평균 효과 방향은 모두 양수이나 표본 또는 신뢰구간 기준을 통과하지 못함</x:v>
      </x:c>
    </x:row>
    <x:row r="45">
      <x:c r="A45" s="25" t="str">
        <x:v>DRUG GM</x:v>
      </x:c>
      <x:c r="B45" s="26" t="str">
        <x:v>KITCHEN GADGETS</x:v>
      </x:c>
      <x:c r="C45" s="26" t="str">
        <x:v>추가 실험 필요</x:v>
      </x:c>
      <x:c r="D45" s="31" t="n">
        <x:v>0.0013241159862246536</x:v>
      </x:c>
      <x:c r="E45" s="33" t="n">
        <x:v>0.012653638568421053</x:v>
      </x:c>
      <x:c r="F45" s="35" t="n">
        <x:v>30</x:v>
      </x:c>
      <x:c r="G45" s="37"/>
      <x:c r="H45" s="27" t="str">
        <x:v>평균 효과 방향은 모두 양수이나 표본 또는 신뢰구간 기준을 통과하지 못함</x:v>
      </x:c>
    </x:row>
    <x:row r="46">
      <x:c r="A46" s="25" t="str">
        <x:v>GROCERY</x:v>
      </x:c>
      <x:c r="B46" s="26" t="str">
        <x:v>EGGS</x:v>
      </x:c>
      <x:c r="C46" s="26" t="str">
        <x:v>추가 실험 필요</x:v>
      </x:c>
      <x:c r="D46" s="31" t="n">
        <x:v>0.010113667494385593</x:v>
      </x:c>
      <x:c r="E46" s="33" t="n">
        <x:v>0.011322155106382981</x:v>
      </x:c>
      <x:c r="F46" s="35" t="n">
        <x:v>6705</x:v>
      </x:c>
      <x:c r="G46" s="37"/>
      <x:c r="H46" s="27" t="str">
        <x:v>평균 효과 방향은 모두 양수이나 표본 또는 신뢰구간 기준을 통과하지 못함</x:v>
      </x:c>
    </x:row>
    <x:row r="47">
      <x:c r="A47" s="25" t="str">
        <x:v>FLORAL</x:v>
      </x:c>
      <x:c r="B47" s="26" t="str">
        <x:v>FLORAL-FRESH CUT</x:v>
      </x:c>
      <x:c r="C47" s="26" t="str">
        <x:v>추가 실험 필요</x:v>
      </x:c>
      <x:c r="D47" s="31" t="n">
        <x:v>0.0011846405228758139</x:v>
      </x:c>
      <x:c r="E47" s="33" t="n">
        <x:v>0.011232979055555556</x:v>
      </x:c>
      <x:c r="F47" s="35" t="n">
        <x:v>308</x:v>
      </x:c>
      <x:c r="G47" s="37"/>
      <x:c r="H47" s="27" t="str">
        <x:v>평균 효과 방향은 모두 양수이나 표본 또는 신뢰구간 기준을 통과하지 못함</x:v>
      </x:c>
    </x:row>
    <x:row r="48">
      <x:c r="A48" s="25" t="str">
        <x:v>GROCERY</x:v>
      </x:c>
      <x:c r="B48" s="26" t="str">
        <x:v>REFRGRATD DOUGH PRODUCTS</x:v>
      </x:c>
      <x:c r="C48" s="26" t="str">
        <x:v>추가 실험 필요</x:v>
      </x:c>
      <x:c r="D48" s="31" t="n">
        <x:v>0.005206532106974377</x:v>
      </x:c>
      <x:c r="E48" s="33" t="n">
        <x:v>0.010802056907509882</x:v>
      </x:c>
      <x:c r="F48" s="35" t="n">
        <x:v>19860</x:v>
      </x:c>
      <x:c r="G48" s="37"/>
      <x:c r="H48" s="27" t="str">
        <x:v>평균 효과 방향은 모두 양수이나 표본 또는 신뢰구간 기준을 통과하지 못함</x:v>
      </x:c>
    </x:row>
    <x:row r="49">
      <x:c r="A49" s="25" t="str">
        <x:v>DRUG GM</x:v>
      </x:c>
      <x:c r="B49" s="26" t="str">
        <x:v>SPRING/SUMMER SEASONAL</x:v>
      </x:c>
      <x:c r="C49" s="26" t="str">
        <x:v>추가 실험 필요</x:v>
      </x:c>
      <x:c r="D49" s="31" t="n">
        <x:v>0.0019490679974806843</x:v>
      </x:c>
      <x:c r="E49" s="33" t="n">
        <x:v>0.010427067595505619</x:v>
      </x:c>
      <x:c r="F49" s="35" t="n">
        <x:v>250</x:v>
      </x:c>
      <x:c r="G49" s="37"/>
      <x:c r="H49" s="27" t="str">
        <x:v>평균 효과 방향은 모두 양수이나 표본 또는 신뢰구간 기준을 통과하지 못함</x:v>
      </x:c>
    </x:row>
    <x:row r="50">
      <x:c r="A50" s="25" t="str">
        <x:v>PRODUCE</x:v>
      </x:c>
      <x:c r="B50" s="26" t="str">
        <x:v>TOMATOES</x:v>
      </x:c>
      <x:c r="C50" s="26" t="str">
        <x:v>추가 실험 필요</x:v>
      </x:c>
      <x:c r="D50" s="31" t="n">
        <x:v>0.007301587301587299</x:v>
      </x:c>
      <x:c r="E50" s="33" t="n">
        <x:v>0.009640212</x:v>
      </x:c>
      <x:c r="F50" s="35" t="n">
        <x:v>475</x:v>
      </x:c>
      <x:c r="G50" s="37"/>
      <x:c r="H50" s="27" t="str">
        <x:v>평균 효과 방향은 모두 양수이나 표본 또는 신뢰구간 기준을 통과하지 못함</x:v>
      </x:c>
    </x:row>
    <x:row r="51">
      <x:c r="A51" s="25" t="str">
        <x:v>DRUG GM</x:v>
      </x:c>
      <x:c r="B51" s="26" t="str">
        <x:v>PLASTIC HOUSEWARES</x:v>
      </x:c>
      <x:c r="C51" s="26" t="str">
        <x:v>추가 실험 필요</x:v>
      </x:c>
      <x:c r="D51" s="31" t="n">
        <x:v>0.00469455371266183</x:v>
      </x:c>
      <x:c r="E51" s="33" t="n">
        <x:v>0.009554626095238094</x:v>
      </x:c>
      <x:c r="F51" s="35" t="n">
        <x:v>197</x:v>
      </x:c>
      <x:c r="G51" s="37"/>
      <x:c r="H51" s="27" t="str">
        <x:v>평균 효과 방향은 모두 양수이나 표본 또는 신뢰구간 기준을 통과하지 못함</x:v>
      </x:c>
    </x:row>
    <x:row r="52">
      <x:c r="A52" s="25" t="str">
        <x:v>GROCERY</x:v>
      </x:c>
      <x:c r="B52" s="26" t="str">
        <x:v>BAKING NEEDS</x:v>
      </x:c>
      <x:c r="C52" s="26" t="str">
        <x:v>추가 실험 필요</x:v>
      </x:c>
      <x:c r="D52" s="31" t="n">
        <x:v>0.002923791970783055</x:v>
      </x:c>
      <x:c r="E52" s="33" t="n">
        <x:v>0.009270289839999998</x:v>
      </x:c>
      <x:c r="F52" s="35" t="n">
        <x:v>900</x:v>
      </x:c>
      <x:c r="G52" s="37"/>
      <x:c r="H52" s="27" t="str">
        <x:v>평균 효과 방향은 모두 양수이나 표본 또는 신뢰구간 기준을 통과하지 못함</x:v>
      </x:c>
    </x:row>
    <x:row r="53">
      <x:c r="A53" s="25" t="str">
        <x:v>GROCERY</x:v>
      </x:c>
      <x:c r="B53" s="26" t="str">
        <x:v>FROZEN PIZZA</x:v>
      </x:c>
      <x:c r="C53" s="26" t="str">
        <x:v>추가 실험 필요</x:v>
      </x:c>
      <x:c r="D53" s="31" t="n">
        <x:v>0.003069717524736542</x:v>
      </x:c>
      <x:c r="E53" s="33" t="n">
        <x:v>0.009259283871921922</x:v>
      </x:c>
      <x:c r="F53" s="35" t="n">
        <x:v>103196</x:v>
      </x:c>
      <x:c r="G53" s="37"/>
      <x:c r="H53" s="27" t="str">
        <x:v>평균 효과 방향은 모두 양수이나 표본 또는 신뢰구간 기준을 통과하지 못함</x:v>
      </x:c>
    </x:row>
    <x:row r="54">
      <x:c r="A54" s="25" t="str">
        <x:v>DELI</x:v>
      </x:c>
      <x:c r="B54" s="26" t="str">
        <x:v>SALADS/DIPS</x:v>
      </x:c>
      <x:c r="C54" s="26" t="str">
        <x:v>추가 실험 필요</x:v>
      </x:c>
      <x:c r="D54" s="31" t="n">
        <x:v>0.0020716611314544786</x:v>
      </x:c>
      <x:c r="E54" s="33" t="n">
        <x:v>0.008159378089743591</x:v>
      </x:c>
      <x:c r="F54" s="35" t="n">
        <x:v>2117</x:v>
      </x:c>
      <x:c r="G54" s="37"/>
      <x:c r="H54" s="27" t="str">
        <x:v>평균 효과 방향은 모두 양수이나 표본 또는 신뢰구간 기준을 통과하지 못함</x:v>
      </x:c>
    </x:row>
    <x:row r="55">
      <x:c r="A55" s="25" t="str">
        <x:v>DRUG GM</x:v>
      </x:c>
      <x:c r="B55" s="26" t="str">
        <x:v>BABY FOODS</x:v>
      </x:c>
      <x:c r="C55" s="26" t="str">
        <x:v>추가 실험 필요</x:v>
      </x:c>
      <x:c r="D55" s="31" t="n">
        <x:v>0.006622614673462131</x:v>
      </x:c>
      <x:c r="E55" s="33" t="n">
        <x:v>0.007925210338983052</x:v>
      </x:c>
      <x:c r="F55" s="35" t="n">
        <x:v>124</x:v>
      </x:c>
      <x:c r="G55" s="37"/>
      <x:c r="H55" s="27" t="str">
        <x:v>평균 효과 방향은 모두 양수이나 표본 또는 신뢰구간 기준을 통과하지 못함</x:v>
      </x:c>
    </x:row>
    <x:row r="56">
      <x:c r="A56" s="25" t="str">
        <x:v>DRUG GM</x:v>
      </x:c>
      <x:c r="B56" s="26" t="str">
        <x:v>SHAVING CARE PRODUCTS</x:v>
      </x:c>
      <x:c r="C56" s="26" t="str">
        <x:v>추가 실험 필요</x:v>
      </x:c>
      <x:c r="D56" s="31" t="n">
        <x:v>0.0014403451011295717</x:v>
      </x:c>
      <x:c r="E56" s="33" t="n">
        <x:v>0.00778834279329609</x:v>
      </x:c>
      <x:c r="F56" s="35" t="n">
        <x:v>1761</x:v>
      </x:c>
      <x:c r="G56" s="37"/>
      <x:c r="H56" s="27" t="str">
        <x:v>평균 효과 방향은 모두 양수이나 표본 또는 신뢰구간 기준을 통과하지 못함</x:v>
      </x:c>
    </x:row>
    <x:row r="57">
      <x:c r="A57" s="25" t="str">
        <x:v>DRUG GM</x:v>
      </x:c>
      <x:c r="B57" s="26" t="str">
        <x:v>GREETING CARDS/WRAP/PARTY SPLY</x:v>
      </x:c>
      <x:c r="C57" s="26" t="str">
        <x:v>추가 실험 필요</x:v>
      </x:c>
      <x:c r="D57" s="31" t="n">
        <x:v>0.003921568627450976</x:v>
      </x:c>
      <x:c r="E57" s="33" t="n">
        <x:v>0.007598039411764705</x:v>
      </x:c>
      <x:c r="F57" s="35" t="n">
        <x:v>111</x:v>
      </x:c>
      <x:c r="G57" s="37"/>
      <x:c r="H57" s="27" t="str">
        <x:v>평균 효과 방향은 모두 양수이나 표본 또는 신뢰구간 기준을 통과하지 못함</x:v>
      </x:c>
    </x:row>
    <x:row r="58">
      <x:c r="A58" s="25" t="str">
        <x:v>GROCERY</x:v>
      </x:c>
      <x:c r="B58" s="26" t="str">
        <x:v>HOUSEHOLD CLEANG NEEDS</x:v>
      </x:c>
      <x:c r="C58" s="26" t="str">
        <x:v>추가 실험 필요</x:v>
      </x:c>
      <x:c r="D58" s="31" t="n">
        <x:v>0.0027359151113093673</x:v>
      </x:c>
      <x:c r="E58" s="33" t="n">
        <x:v>0.007222792886597938</x:v>
      </x:c>
      <x:c r="F58" s="35" t="n">
        <x:v>879</x:v>
      </x:c>
      <x:c r="G58" s="37"/>
      <x:c r="H58" s="27" t="str">
        <x:v>평균 효과 방향은 모두 양수이나 표본 또는 신뢰구간 기준을 통과하지 못함</x:v>
      </x:c>
    </x:row>
    <x:row r="59">
      <x:c r="A59" s="25" t="str">
        <x:v>GROCERY</x:v>
      </x:c>
      <x:c r="B59" s="26" t="str">
        <x:v>COFFEE</x:v>
      </x:c>
      <x:c r="C59" s="26" t="str">
        <x:v>추가 실험 필요</x:v>
      </x:c>
      <x:c r="D59" s="31" t="n">
        <x:v>0.001540516628118322</x:v>
      </x:c>
      <x:c r="E59" s="33" t="n">
        <x:v>0.007202131560869566</x:v>
      </x:c>
      <x:c r="F59" s="35" t="n">
        <x:v>5226</x:v>
      </x:c>
      <x:c r="G59" s="37"/>
      <x:c r="H59" s="27" t="str">
        <x:v>평균 효과 방향은 모두 양수이나 표본 또는 신뢰구간 기준을 통과하지 못함</x:v>
      </x:c>
    </x:row>
    <x:row r="60">
      <x:c r="A60" s="25" t="str">
        <x:v>DRUG GM</x:v>
      </x:c>
      <x:c r="B60" s="26" t="str">
        <x:v>BABY HBC</x:v>
      </x:c>
      <x:c r="C60" s="26" t="str">
        <x:v>추가 실험 필요</x:v>
      </x:c>
      <x:c r="D60" s="31" t="n">
        <x:v>0.0016758585725212339</x:v>
      </x:c>
      <x:c r="E60" s="33" t="n">
        <x:v>0.00701124464516129</x:v>
      </x:c>
      <x:c r="F60" s="35" t="n">
        <x:v>1268</x:v>
      </x:c>
      <x:c r="G60" s="37"/>
      <x:c r="H60" s="27" t="str">
        <x:v>평균 효과 방향은 모두 양수이나 표본 또는 신뢰구간 기준을 통과하지 못함</x:v>
      </x:c>
    </x:row>
    <x:row r="61">
      <x:c r="A61" s="25" t="str">
        <x:v>GROCERY</x:v>
      </x:c>
      <x:c r="B61" s="26" t="str">
        <x:v>COOKIES/CONES</x:v>
      </x:c>
      <x:c r="C61" s="26" t="str">
        <x:v>추가 실험 필요</x:v>
      </x:c>
      <x:c r="D61" s="31" t="n">
        <x:v>0.0027777054524033844</x:v>
      </x:c>
      <x:c r="E61" s="33" t="n">
        <x:v>0.006061432902046035</x:v>
      </x:c>
      <x:c r="F61" s="35" t="n">
        <x:v>30048</x:v>
      </x:c>
      <x:c r="G61" s="37"/>
      <x:c r="H61" s="27" t="str">
        <x:v>평균 효과 방향은 모두 양수이나 표본 또는 신뢰구간 기준을 통과하지 못함</x:v>
      </x:c>
    </x:row>
    <x:row r="62">
      <x:c r="A62" s="25" t="str">
        <x:v>MEAT-PCKGD</x:v>
      </x:c>
      <x:c r="B62" s="26" t="str">
        <x:v>FROZEN MEAT</x:v>
      </x:c>
      <x:c r="C62" s="26" t="str">
        <x:v>추가 실험 필요</x:v>
      </x:c>
      <x:c r="D62" s="31" t="n">
        <x:v>0.0015502124057030374</x:v>
      </x:c>
      <x:c r="E62" s="33" t="n">
        <x:v>0.0058401556867469905</x:v>
      </x:c>
      <x:c r="F62" s="35" t="n">
        <x:v>3136</x:v>
      </x:c>
      <x:c r="G62" s="37"/>
      <x:c r="H62" s="27" t="str">
        <x:v>평균 효과 방향은 모두 양수이나 표본 또는 신뢰구간 기준을 통과하지 못함</x:v>
      </x:c>
    </x:row>
    <x:row r="63">
      <x:c r="A63" s="25" t="str">
        <x:v>GROCERY</x:v>
      </x:c>
      <x:c r="B63" s="26" t="str">
        <x:v>MEAT - SHELF STABLE</x:v>
      </x:c>
      <x:c r="C63" s="26" t="str">
        <x:v>추가 실험 필요</x:v>
      </x:c>
      <x:c r="D63" s="31" t="n">
        <x:v>-0.001016844110252643</x:v>
      </x:c>
      <x:c r="E63" s="33" t="n">
        <x:v>0.005580512117283952</x:v>
      </x:c>
      <x:c r="F63" s="35" t="n">
        <x:v>13701</x:v>
      </x:c>
      <x:c r="G63" s="37"/>
      <x:c r="H63" s="27" t="str">
        <x:v>평균 효과 방향은 모두 양수이나 표본 또는 신뢰구간 기준을 통과하지 못함</x:v>
      </x:c>
    </x:row>
    <x:row r="64">
      <x:c r="A64" s="25" t="str">
        <x:v>TRAVEL &amp; LEISUR</x:v>
      </x:c>
      <x:c r="B64" s="26" t="str">
        <x:v>APPLES</x:v>
      </x:c>
      <x:c r="C64" s="26" t="str">
        <x:v>추가 실험 필요</x:v>
      </x:c>
      <x:c r="D64" s="31" t="n">
        <x:v>0.00277777777777776</x:v>
      </x:c>
      <x:c r="E64" s="33" t="n">
        <x:v>0.005555554</x:v>
      </x:c>
      <x:c r="F64" s="35" t="n">
        <x:v>297</x:v>
      </x:c>
      <x:c r="G64" s="37"/>
      <x:c r="H64" s="27" t="str">
        <x:v>평균 효과 방향은 모두 양수이나 표본 또는 신뢰구간 기준을 통과하지 못함</x:v>
      </x:c>
    </x:row>
    <x:row r="65">
      <x:c r="A65" s="25" t="str">
        <x:v>GROCERY</x:v>
      </x:c>
      <x:c r="B65" s="26" t="str">
        <x:v>BAKED BREAD/BUNS/ROLLS</x:v>
      </x:c>
      <x:c r="C65" s="26" t="str">
        <x:v>추가 실험 필요</x:v>
      </x:c>
      <x:c r="D65" s="31" t="n">
        <x:v>0.005692840128530299</x:v>
      </x:c>
      <x:c r="E65" s="33" t="n">
        <x:v>0.005400502507341772</x:v>
      </x:c>
      <x:c r="F65" s="35" t="n">
        <x:v>35675</x:v>
      </x:c>
      <x:c r="G65" s="37"/>
      <x:c r="H65" s="27" t="str">
        <x:v>평균 효과 방향은 모두 양수이나 표본 또는 신뢰구간 기준을 통과하지 못함</x:v>
      </x:c>
    </x:row>
    <x:row r="66">
      <x:c r="A66" s="25" t="str">
        <x:v>GROCERY</x:v>
      </x:c>
      <x:c r="B66" s="26" t="str">
        <x:v>ISOTONIC DRINKS</x:v>
      </x:c>
      <x:c r="C66" s="26" t="str">
        <x:v>추가 실험 필요</x:v>
      </x:c>
      <x:c r="D66" s="31" t="n">
        <x:v>0.003631381473038343</x:v>
      </x:c>
      <x:c r="E66" s="33" t="n">
        <x:v>0.005153217010268456</x:v>
      </x:c>
      <x:c r="F66" s="35" t="n">
        <x:v>16885</x:v>
      </x:c>
      <x:c r="G66" s="37"/>
      <x:c r="H66" s="27" t="str">
        <x:v>평균 효과 방향은 모두 양수이나 표본 또는 신뢰구간 기준을 통과하지 못함</x:v>
      </x:c>
    </x:row>
    <x:row r="67">
      <x:c r="A67" s="25" t="str">
        <x:v>DRUG GM</x:v>
      </x:c>
      <x:c r="B67" s="26" t="str">
        <x:v>STATIONERY &amp; SCHOOL SUPPLIES</x:v>
      </x:c>
      <x:c r="C67" s="26" t="str">
        <x:v>추가 실험 필요</x:v>
      </x:c>
      <x:c r="D67" s="31" t="n">
        <x:v>0.0013498537338076566</x:v>
      </x:c>
      <x:c r="E67" s="33" t="n">
        <x:v>0.004994578729133859</x:v>
      </x:c>
      <x:c r="F67" s="35" t="n">
        <x:v>651</x:v>
      </x:c>
      <x:c r="G67" s="37"/>
      <x:c r="H67" s="27" t="str">
        <x:v>평균 효과 방향은 모두 양수이나 표본 또는 신뢰구간 기준을 통과하지 못함</x:v>
      </x:c>
    </x:row>
    <x:row r="68">
      <x:c r="A68" s="25" t="str">
        <x:v>DRUG GM</x:v>
      </x:c>
      <x:c r="B68" s="26" t="str">
        <x:v>COLD AND FLU</x:v>
      </x:c>
      <x:c r="C68" s="26" t="str">
        <x:v>추가 실험 필요</x:v>
      </x:c>
      <x:c r="D68" s="31" t="n">
        <x:v>0.0009998188301079465</x:v>
      </x:c>
      <x:c r="E68" s="33" t="n">
        <x:v>0.004452934597058823</x:v>
      </x:c>
      <x:c r="F68" s="35" t="n">
        <x:v>1539</x:v>
      </x:c>
      <x:c r="G68" s="37"/>
      <x:c r="H68" s="27" t="str">
        <x:v>평균 효과 방향은 모두 양수이나 표본 또는 신뢰구간 기준을 통과하지 못함</x:v>
      </x:c>
    </x:row>
    <x:row r="69">
      <x:c r="A69" s="25" t="str">
        <x:v>GROCERY</x:v>
      </x:c>
      <x:c r="B69" s="26" t="str">
        <x:v>SEAFOOD - SHELF STABLE</x:v>
      </x:c>
      <x:c r="C69" s="26" t="str">
        <x:v>추가 실험 필요</x:v>
      </x:c>
      <x:c r="D69" s="31" t="n">
        <x:v>-0.004172332228308275</x:v>
      </x:c>
      <x:c r="E69" s="33" t="n">
        <x:v>0.004257354</x:v>
      </x:c>
      <x:c r="F69" s="35" t="n">
        <x:v>423</x:v>
      </x:c>
      <x:c r="G69" s="37"/>
      <x:c r="H69" s="27" t="str">
        <x:v>평균 효과 방향은 모두 양수이나 표본 또는 신뢰구간 기준을 통과하지 못함</x:v>
      </x:c>
    </x:row>
    <x:row r="70">
      <x:c r="A70" s="25" t="str">
        <x:v>GROCERY</x:v>
      </x:c>
      <x:c r="B70" s="26" t="str">
        <x:v>HISPANIC</x:v>
      </x:c>
      <x:c r="C70" s="26" t="str">
        <x:v>추가 실험 필요</x:v>
      </x:c>
      <x:c r="D70" s="31" t="n">
        <x:v>0.005436664030414027</x:v>
      </x:c>
      <x:c r="E70" s="33" t="n">
        <x:v>0.004215940178269228</x:v>
      </x:c>
      <x:c r="F70" s="35" t="n">
        <x:v>313</x:v>
      </x:c>
      <x:c r="G70" s="37"/>
      <x:c r="H70" s="27" t="str">
        <x:v>평균 효과 방향은 모두 양수이나 표본 또는 신뢰구간 기준을 통과하지 못함</x:v>
      </x:c>
    </x:row>
    <x:row r="71">
      <x:c r="A71" s="25" t="str">
        <x:v>GROCERY</x:v>
      </x:c>
      <x:c r="B71" s="26" t="str">
        <x:v>LAUNDRY DETERGENTS</x:v>
      </x:c>
      <x:c r="C71" s="26" t="str">
        <x:v>추가 실험 필요</x:v>
      </x:c>
      <x:c r="D71" s="31" t="n">
        <x:v>0.0010222302891004502</x:v>
      </x:c>
      <x:c r="E71" s="33" t="n">
        <x:v>0.004145533226775954</x:v>
      </x:c>
      <x:c r="F71" s="35" t="n">
        <x:v>15251</x:v>
      </x:c>
      <x:c r="G71" s="37"/>
      <x:c r="H71" s="27" t="str">
        <x:v>평균 효과 방향은 모두 양수이나 표본 또는 신뢰구간 기준을 통과하지 못함</x:v>
      </x:c>
    </x:row>
    <x:row r="72">
      <x:c r="A72" s="25" t="str">
        <x:v>MEAT-PCKGD</x:v>
      </x:c>
      <x:c r="B72" s="26" t="str">
        <x:v>MISCELLANEOUS</x:v>
      </x:c>
      <x:c r="C72" s="26" t="str">
        <x:v>추가 실험 필요</x:v>
      </x:c>
      <x:c r="D72" s="31" t="n">
        <x:v>0.002220913107511044</x:v>
      </x:c>
      <x:c r="E72" s="33" t="n">
        <x:v>0.003518036</x:v>
      </x:c>
      <x:c r="F72" s="35" t="n">
        <x:v>340</x:v>
      </x:c>
      <x:c r="G72" s="37"/>
      <x:c r="H72" s="27" t="str">
        <x:v>평균 효과 방향은 모두 양수이나 표본 또는 신뢰구간 기준을 통과하지 못함</x:v>
      </x:c>
    </x:row>
    <x:row r="73">
      <x:c r="A73" s="25" t="str">
        <x:v>GROCERY</x:v>
      </x:c>
      <x:c r="B73" s="26" t="str">
        <x:v>MARGARINES</x:v>
      </x:c>
      <x:c r="C73" s="26" t="str">
        <x:v>추가 실험 필요</x:v>
      </x:c>
      <x:c r="D73" s="31" t="n">
        <x:v>0.0035157226437035993</x:v>
      </x:c>
      <x:c r="E73" s="33" t="n">
        <x:v>0.0035090249999999994</x:v>
      </x:c>
      <x:c r="F73" s="35" t="n">
        <x:v>1229</x:v>
      </x:c>
      <x:c r="G73" s="37"/>
      <x:c r="H73" s="27" t="str">
        <x:v>평균 효과 방향은 모두 양수이나 표본 또는 신뢰구간 기준을 통과하지 못함</x:v>
      </x:c>
    </x:row>
    <x:row r="74">
      <x:c r="A74" s="25" t="str">
        <x:v>DRUG GM</x:v>
      </x:c>
      <x:c r="B74" s="26" t="str">
        <x:v>HAND/BODY/FACIAL PRODUCTS</x:v>
      </x:c>
      <x:c r="C74" s="26" t="str">
        <x:v>추가 실험 필요</x:v>
      </x:c>
      <x:c r="D74" s="31" t="n">
        <x:v>0.001101405878272317</x:v>
      </x:c>
      <x:c r="E74" s="33" t="n">
        <x:v>0.0033783783783783786</x:v>
      </x:c>
      <x:c r="F74" s="35" t="n">
        <x:v>416</x:v>
      </x:c>
      <x:c r="G74" s="37"/>
      <x:c r="H74" s="27" t="str">
        <x:v>평균 효과 방향은 모두 양수이나 표본 또는 신뢰구간 기준을 통과하지 못함</x:v>
      </x:c>
    </x:row>
    <x:row r="75">
      <x:c r="A75" s="25" t="str">
        <x:v>GROCERY</x:v>
      </x:c>
      <x:c r="B75" s="26" t="str">
        <x:v>FRZN MEAT/MEAT DINNERS</x:v>
      </x:c>
      <x:c r="C75" s="26" t="str">
        <x:v>추가 실험 필요</x:v>
      </x:c>
      <x:c r="D75" s="31" t="n">
        <x:v>0.0017271465777522652</x:v>
      </x:c>
      <x:c r="E75" s="33" t="n">
        <x:v>0.0029987981670955566</x:v>
      </x:c>
      <x:c r="F75" s="35" t="n">
        <x:v>62033</x:v>
      </x:c>
      <x:c r="G75" s="37"/>
      <x:c r="H75" s="27" t="str">
        <x:v>평균 효과 방향은 모두 양수이나 표본 또는 신뢰구간 기준을 통과하지 못함</x:v>
      </x:c>
    </x:row>
    <x:row r="76">
      <x:c r="A76" s="25" t="str">
        <x:v>GROCERY</x:v>
      </x:c>
      <x:c r="B76" s="26" t="str">
        <x:v>CONVENIENT BRKFST/WHLSM SNACKS</x:v>
      </x:c>
      <x:c r="C76" s="26" t="str">
        <x:v>추가 실험 필요</x:v>
      </x:c>
      <x:c r="D76" s="31" t="n">
        <x:v>0.0016904361312981672</x:v>
      </x:c>
      <x:c r="E76" s="33" t="n">
        <x:v>0.002886151631662746</x:v>
      </x:c>
      <x:c r="F76" s="35" t="n">
        <x:v>17318</x:v>
      </x:c>
      <x:c r="G76" s="37"/>
      <x:c r="H76" s="27" t="str">
        <x:v>평균 효과 방향은 모두 양수이나 표본 또는 신뢰구간 기준을 통과하지 못함</x:v>
      </x:c>
    </x:row>
    <x:row r="77">
      <x:c r="A77" s="25" t="str">
        <x:v>GROCERY</x:v>
      </x:c>
      <x:c r="B77" s="26" t="str">
        <x:v>CRACKERS/MISC BKD FD</x:v>
      </x:c>
      <x:c r="C77" s="26" t="str">
        <x:v>추가 실험 필요</x:v>
      </x:c>
      <x:c r="D77" s="31" t="n">
        <x:v>0.0013476176449029556</x:v>
      </x:c>
      <x:c r="E77" s="33" t="n">
        <x:v>0.0028231316993316204</x:v>
      </x:c>
      <x:c r="F77" s="35" t="n">
        <x:v>62773</x:v>
      </x:c>
      <x:c r="G77" s="37"/>
      <x:c r="H77" s="27" t="str">
        <x:v>평균 효과 방향은 모두 양수이나 표본 또는 신뢰구간 기준을 통과하지 못함</x:v>
      </x:c>
    </x:row>
    <x:row r="78">
      <x:c r="A78" s="25" t="str">
        <x:v>DRUG GM</x:v>
      </x:c>
      <x:c r="B78" s="26" t="str">
        <x:v>ANALGESICS</x:v>
      </x:c>
      <x:c r="C78" s="26" t="str">
        <x:v>추가 실험 필요</x:v>
      </x:c>
      <x:c r="D78" s="31" t="n">
        <x:v>-0.00005126965456177821</x:v>
      </x:c>
      <x:c r="E78" s="33" t="n">
        <x:v>0.002430152875462963</x:v>
      </x:c>
      <x:c r="F78" s="35" t="n">
        <x:v>1697</x:v>
      </x:c>
      <x:c r="G78" s="37"/>
      <x:c r="H78" s="27" t="str">
        <x:v>평균 효과 방향은 모두 양수이나 표본 또는 신뢰구간 기준을 통과하지 못함</x:v>
      </x:c>
    </x:row>
    <x:row r="79">
      <x:c r="A79" s="25" t="str">
        <x:v>DRUG GM</x:v>
      </x:c>
      <x:c r="B79" s="26" t="str">
        <x:v>ELECTRICAL SUPPPLIES</x:v>
      </x:c>
      <x:c r="C79" s="26" t="str">
        <x:v>추가 실험 필요</x:v>
      </x:c>
      <x:c r="D79" s="31" t="n">
        <x:v>0.0010087067002209967</x:v>
      </x:c>
      <x:c r="E79" s="33" t="n">
        <x:v>0.0022343233999999996</x:v>
      </x:c>
      <x:c r="F79" s="35" t="n">
        <x:v>882</x:v>
      </x:c>
      <x:c r="G79" s="37"/>
      <x:c r="H79" s="27" t="str">
        <x:v>평균 효과 방향은 모두 양수이나 표본 또는 신뢰구간 기준을 통과하지 못함</x:v>
      </x:c>
    </x:row>
    <x:row r="80">
      <x:c r="A80" s="25" t="str">
        <x:v>GROCERY</x:v>
      </x:c>
      <x:c r="B80" s="26" t="str">
        <x:v>BAKED SWEET GOODS</x:v>
      </x:c>
      <x:c r="C80" s="26" t="str">
        <x:v>추가 실험 필요</x:v>
      </x:c>
      <x:c r="D80" s="31" t="n">
        <x:v>0.0024662722749388658</x:v>
      </x:c>
      <x:c r="E80" s="33" t="n">
        <x:v>0.0008452305192307693</x:v>
      </x:c>
      <x:c r="F80" s="35" t="n">
        <x:v>4772</x:v>
      </x:c>
      <x:c r="G80" s="37"/>
      <x:c r="H80" s="27" t="str">
        <x:v>평균 효과 방향은 모두 양수이나 표본 또는 신뢰구간 기준을 통과하지 못함</x:v>
      </x:c>
    </x:row>
    <x:row r="81">
      <x:c r="A81" s="25" t="str">
        <x:v>GROCERY</x:v>
      </x:c>
      <x:c r="B81" s="26" t="str">
        <x:v>BEANS - CANNED GLASS &amp; MW</x:v>
      </x:c>
      <x:c r="C81" s="26" t="str">
        <x:v>추가 실험 필요</x:v>
      </x:c>
      <x:c r="D81" s="31" t="n">
        <x:v>0.0024928715672823377</x:v>
      </x:c>
      <x:c r="E81" s="33" t="n">
        <x:v>0.00048237831567567624</x:v>
      </x:c>
      <x:c r="F81" s="35" t="n">
        <x:v>5484</x:v>
      </x:c>
      <x:c r="G81" s="37"/>
      <x:c r="H81" s="27" t="str">
        <x:v>평균 효과 방향은 모두 양수이나 표본 또는 신뢰구간 기준을 통과하지 못함</x:v>
      </x:c>
    </x:row>
    <x:row r="82">
      <x:c r="A82" s="25" t="str">
        <x:v>GROCERY</x:v>
      </x:c>
      <x:c r="B82" s="26" t="str">
        <x:v>VEGETABLES - SHELF STABLE</x:v>
      </x:c>
      <x:c r="C82" s="26" t="str">
        <x:v>추가 실험 필요</x:v>
      </x:c>
      <x:c r="D82" s="31" t="n">
        <x:v>-0.0017335497256983441</x:v>
      </x:c>
      <x:c r="E82" s="33" t="n">
        <x:v>0.0002568489860576925</x:v>
      </x:c>
      <x:c r="F82" s="35" t="n">
        <x:v>16524</x:v>
      </x:c>
      <x:c r="G82" s="37"/>
      <x:c r="H82" s="27" t="str">
        <x:v>평균 효과 방향은 모두 양수이나 표본 또는 신뢰구간 기준을 통과하지 못함</x:v>
      </x:c>
    </x:row>
    <x:row r="83">
      <x:c r="A83" s="25" t="str">
        <x:v>GROCERY</x:v>
      </x:c>
      <x:c r="B83" s="26" t="str">
        <x:v>YOGURT</x:v>
      </x:c>
      <x:c r="C83" s="26" t="str">
        <x:v>추가 실험 필요</x:v>
      </x:c>
      <x:c r="D83" s="31" t="n">
        <x:v>0.0027240762099399415</x:v>
      </x:c>
      <x:c r="E83" s="33" t="n">
        <x:v>0.00019974768741071378</x:v>
      </x:c>
      <x:c r="F83" s="35" t="n">
        <x:v>11637</x:v>
      </x:c>
      <x:c r="G83" s="37"/>
      <x:c r="H83" s="27" t="str">
        <x:v>평균 효과 방향은 모두 양수이나 표본 또는 신뢰구간 기준을 통과하지 못함</x:v>
      </x:c>
    </x:row>
    <x:row r="84">
      <x:c r="A84" s="25" t="str">
        <x:v>DRUG GM</x:v>
      </x:c>
      <x:c r="B84" s="26" t="str">
        <x:v>SOAP - LIQUID &amp; BAR</x:v>
      </x:c>
      <x:c r="C84" s="26" t="str">
        <x:v>추가 실험 필요</x:v>
      </x:c>
      <x:c r="D84" s="31" t="n">
        <x:v>0.0005157200330480562</x:v>
      </x:c>
      <x:c r="E84" s="33" t="n">
        <x:v>-0.00003083018584507005</x:v>
      </x:c>
      <x:c r="F84" s="35" t="n">
        <x:v>2781</x:v>
      </x:c>
      <x:c r="G84" s="37"/>
      <x:c r="H84" s="27" t="str">
        <x:v>평균 효과 방향은 모두 양수이나 표본 또는 신뢰구간 기준을 통과하지 못함</x:v>
      </x:c>
    </x:row>
    <x:row r="85">
      <x:c r="A85" s="25" t="str">
        <x:v>GROCERY</x:v>
      </x:c>
      <x:c r="B85" s="26" t="str">
        <x:v>FRZN POTATOES</x:v>
      </x:c>
      <x:c r="C85" s="26" t="str">
        <x:v>추가 실험 필요</x:v>
      </x:c>
      <x:c r="D85" s="31" t="n">
        <x:v>0.002539772658811238</x:v>
      </x:c>
      <x:c r="E85" s="33" t="n">
        <x:v>-0.00043360867021276375</x:v>
      </x:c>
      <x:c r="F85" s="35" t="n">
        <x:v>5195</x:v>
      </x:c>
      <x:c r="G85" s="37"/>
      <x:c r="H85" s="27" t="str">
        <x:v>평균 효과 방향은 모두 양수이나 표본 또는 신뢰구간 기준을 통과하지 못함</x:v>
      </x:c>
    </x:row>
    <x:row r="86">
      <x:c r="A86" s="25" t="str">
        <x:v>GROCERY</x:v>
      </x:c>
      <x:c r="B86" s="26" t="str">
        <x:v>CHEESE</x:v>
      </x:c>
      <x:c r="C86" s="26" t="str">
        <x:v>추가 실험 필요</x:v>
      </x:c>
      <x:c r="D86" s="31" t="n">
        <x:v>0.0016795383139967563</x:v>
      </x:c>
      <x:c r="E86" s="33" t="n">
        <x:v>-0.0009718721164705867</x:v>
      </x:c>
      <x:c r="F86" s="35" t="n">
        <x:v>69456</x:v>
      </x:c>
      <x:c r="G86" s="37"/>
      <x:c r="H86" s="27" t="str">
        <x:v>평균 효과 방향은 모두 양수이나 표본 또는 신뢰구간 기준을 통과하지 못함</x:v>
      </x:c>
    </x:row>
    <x:row r="87">
      <x:c r="A87" s="25" t="str">
        <x:v>GROCERY</x:v>
      </x:c>
      <x:c r="B87" s="26" t="str">
        <x:v>REFRGRATD JUICES/DRNKS</x:v>
      </x:c>
      <x:c r="C87" s="26" t="str">
        <x:v>추가 실험 필요</x:v>
      </x:c>
      <x:c r="D87" s="31" t="n">
        <x:v>0.00010059875314510679</x:v>
      </x:c>
      <x:c r="E87" s="33" t="n">
        <x:v>-0.0011897672080851066</x:v>
      </x:c>
      <x:c r="F87" s="35" t="n">
        <x:v>28038</x:v>
      </x:c>
      <x:c r="G87" s="37"/>
      <x:c r="H87" s="27" t="str">
        <x:v>평균 효과 방향은 모두 양수이나 표본 또는 신뢰구간 기준을 통과하지 못함</x:v>
      </x:c>
    </x:row>
    <x:row r="88">
      <x:c r="A88" s="25" t="str">
        <x:v>DRUG GM</x:v>
      </x:c>
      <x:c r="B88" s="26" t="str">
        <x:v>CANDY - PACKAGED</x:v>
      </x:c>
      <x:c r="C88" s="26" t="str">
        <x:v>추가 실험 필요</x:v>
      </x:c>
      <x:c r="D88" s="31" t="n">
        <x:v>0.0008772451766746256</x:v>
      </x:c>
      <x:c r="E88" s="33" t="n">
        <x:v>-0.001656826790344443</x:v>
      </x:c>
      <x:c r="F88" s="35" t="n">
        <x:v>48534</x:v>
      </x:c>
      <x:c r="G88" s="37"/>
      <x:c r="H88" s="27" t="str">
        <x:v>평균 효과 방향은 모두 양수이나 표본 또는 신뢰구간 기준을 통과하지 못함</x:v>
      </x:c>
    </x:row>
    <x:row r="89">
      <x:c r="A89" s="25" t="str">
        <x:v>GROCERY</x:v>
      </x:c>
      <x:c r="B89" s="26" t="str">
        <x:v>FROZEN PIE/DESSERTS</x:v>
      </x:c>
      <x:c r="C89" s="26" t="str">
        <x:v>추가 실험 필요</x:v>
      </x:c>
      <x:c r="D89" s="31" t="n">
        <x:v>0.0006918762203875102</x:v>
      </x:c>
      <x:c r="E89" s="33" t="n">
        <x:v>-0.00221777026918239</x:v>
      </x:c>
      <x:c r="F89" s="35" t="n">
        <x:v>14720</x:v>
      </x:c>
      <x:c r="G89" s="37"/>
      <x:c r="H89" s="27" t="str">
        <x:v>평균 효과 방향은 모두 양수이나 표본 또는 신뢰구간 기준을 통과하지 못함</x:v>
      </x:c>
    </x:row>
    <x:row r="90">
      <x:c r="A90" s="25" t="str">
        <x:v>GROCERY</x:v>
      </x:c>
      <x:c r="B90" s="26" t="str">
        <x:v>LAUNDRY ADDITIVES</x:v>
      </x:c>
      <x:c r="C90" s="26" t="str">
        <x:v>추가 실험 필요</x:v>
      </x:c>
      <x:c r="D90" s="31" t="n">
        <x:v>-0.0019600312187617987</x:v>
      </x:c>
      <x:c r="E90" s="33" t="n">
        <x:v>-0.0026200984202898554</x:v>
      </x:c>
      <x:c r="F90" s="35" t="n">
        <x:v>2062</x:v>
      </x:c>
      <x:c r="G90" s="37"/>
      <x:c r="H90" s="27" t="str">
        <x:v>평균 효과 방향은 모두 양수이나 표본 또는 신뢰구간 기준을 통과하지 못함</x:v>
      </x:c>
    </x:row>
    <x:row r="91">
      <x:c r="A91" s="25" t="str">
        <x:v>PASTRY</x:v>
      </x:c>
      <x:c r="B91" s="26" t="str">
        <x:v>SWEET GOODS &amp; SNACKS</x:v>
      </x:c>
      <x:c r="C91" s="26" t="str">
        <x:v>추가 실험 필요</x:v>
      </x:c>
      <x:c r="D91" s="31" t="n">
        <x:v>-0.0031614023297491054</x:v>
      </x:c>
      <x:c r="E91" s="33" t="n">
        <x:v>-0.003051075625</x:v>
      </x:c>
      <x:c r="F91" s="35" t="n">
        <x:v>221</x:v>
      </x:c>
      <x:c r="G91" s="37"/>
      <x:c r="H91" s="27" t="str">
        <x:v>평균 효과 방향은 모두 양수이나 표본 또는 신뢰구간 기준을 통과하지 못함</x:v>
      </x:c>
    </x:row>
    <x:row r="92">
      <x:c r="A92" s="25" t="str">
        <x:v>GROCERY</x:v>
      </x:c>
      <x:c r="B92" s="26" t="str">
        <x:v>SALD DRSNG/SNDWCH SPRD</x:v>
      </x:c>
      <x:c r="C92" s="26" t="str">
        <x:v>추가 실험 필요</x:v>
      </x:c>
      <x:c r="D92" s="31" t="n">
        <x:v>-0.0005888586253690446</x:v>
      </x:c>
      <x:c r="E92" s="33" t="n">
        <x:v>-0.0031829650187050365</x:v>
      </x:c>
      <x:c r="F92" s="35" t="n">
        <x:v>16682</x:v>
      </x:c>
      <x:c r="G92" s="37"/>
      <x:c r="H92" s="27" t="str">
        <x:v>평균 효과 방향은 모두 양수이나 표본 또는 신뢰구간 기준을 통과하지 못함</x:v>
      </x:c>
    </x:row>
    <x:row r="93">
      <x:c r="A93" s="25" t="str">
        <x:v>PRODUCE</x:v>
      </x:c>
      <x:c r="B93" s="26" t="str">
        <x:v>SALAD MIX</x:v>
      </x:c>
      <x:c r="C93" s="26" t="str">
        <x:v>추가 실험 필요</x:v>
      </x:c>
      <x:c r="D93" s="31" t="n">
        <x:v>-0.001825624078710498</x:v>
      </x:c>
      <x:c r="E93" s="33" t="n">
        <x:v>-0.004451514777777778</x:v>
      </x:c>
      <x:c r="F93" s="35" t="n">
        <x:v>564</x:v>
      </x:c>
      <x:c r="G93" s="37"/>
      <x:c r="H93" s="27" t="str">
        <x:v>평균 효과 방향은 모두 양수이나 표본 또는 신뢰구간 기준을 통과하지 못함</x:v>
      </x:c>
    </x:row>
    <x:row r="94">
      <x:c r="A94" s="25" t="str">
        <x:v>DRUG GM</x:v>
      </x:c>
      <x:c r="B94" s="26" t="str">
        <x:v>DEODORANTS</x:v>
      </x:c>
      <x:c r="C94" s="26" t="str">
        <x:v>추가 실험 필요</x:v>
      </x:c>
      <x:c r="D94" s="31" t="n">
        <x:v>-0.0016862758565996483</x:v>
      </x:c>
      <x:c r="E94" s="33" t="n">
        <x:v>-0.004560139043093526</x:v>
      </x:c>
      <x:c r="F94" s="35" t="n">
        <x:v>3030</x:v>
      </x:c>
      <x:c r="G94" s="37"/>
      <x:c r="H94" s="27" t="str">
        <x:v>평균 효과 방향은 모두 양수이나 표본 또는 신뢰구간 기준을 통과하지 못함</x:v>
      </x:c>
    </x:row>
    <x:row r="95">
      <x:c r="A95" s="25" t="str">
        <x:v>GROCERY</x:v>
      </x:c>
      <x:c r="B95" s="26" t="str">
        <x:v>FRZN NOVELTIES/WTR ICE</x:v>
      </x:c>
      <x:c r="C95" s="26" t="str">
        <x:v>추가 실험 필요</x:v>
      </x:c>
      <x:c r="D95" s="31" t="n">
        <x:v>0.0015528696771292972</x:v>
      </x:c>
      <x:c r="E95" s="33" t="n">
        <x:v>-0.00476219235835737</x:v>
      </x:c>
      <x:c r="F95" s="35" t="n">
        <x:v>8620</x:v>
      </x:c>
      <x:c r="G95" s="37"/>
      <x:c r="H95" s="27" t="str">
        <x:v>평균 효과 방향은 모두 양수이나 표본 또는 신뢰구간 기준을 통과하지 못함</x:v>
      </x:c>
    </x:row>
    <x:row r="96">
      <x:c r="A96" s="25" t="str">
        <x:v>COSMETICS</x:v>
      </x:c>
      <x:c r="B96" s="26" t="str">
        <x:v>MAKEUP AND TREATMENT</x:v>
      </x:c>
      <x:c r="C96" s="26" t="str">
        <x:v>추가 실험 필요</x:v>
      </x:c>
      <x:c r="D96" s="31" t="n">
        <x:v>-0.0005396850448933789</x:v>
      </x:c>
      <x:c r="E96" s="33" t="n">
        <x:v>-0.004784441673611111</x:v>
      </x:c>
      <x:c r="F96" s="35" t="n">
        <x:v>739</x:v>
      </x:c>
      <x:c r="G96" s="37"/>
      <x:c r="H96" s="27" t="str">
        <x:v>평균 효과 방향은 모두 양수이나 표본 또는 신뢰구간 기준을 통과하지 못함</x:v>
      </x:c>
    </x:row>
    <x:row r="97">
      <x:c r="A97" s="25" t="str">
        <x:v>GROCERY</x:v>
      </x:c>
      <x:c r="B97" s="26" t="str">
        <x:v>FRZN VEGETABLE/VEG DSH</x:v>
      </x:c>
      <x:c r="C97" s="26" t="str">
        <x:v>추가 실험 필요</x:v>
      </x:c>
      <x:c r="D97" s="31" t="n">
        <x:v>0.0028483290129539666</x:v>
      </x:c>
      <x:c r="E97" s="33" t="n">
        <x:v>-0.006047164595411397</x:v>
      </x:c>
      <x:c r="F97" s="35" t="n">
        <x:v>35186</x:v>
      </x:c>
      <x:c r="G97" s="37"/>
      <x:c r="H97" s="27" t="str">
        <x:v>평균 효과 방향은 모두 양수이나 표본 또는 신뢰구간 기준을 통과하지 못함</x:v>
      </x:c>
    </x:row>
    <x:row r="98">
      <x:c r="A98" s="25" t="str">
        <x:v>GROCERY</x:v>
      </x:c>
      <x:c r="B98" s="26" t="str">
        <x:v>FRZN BREAKFAST FOODS</x:v>
      </x:c>
      <x:c r="C98" s="26" t="str">
        <x:v>추가 실험 필요</x:v>
      </x:c>
      <x:c r="D98" s="31" t="n">
        <x:v>0.0010630576664986612</x:v>
      </x:c>
      <x:c r="E98" s="33" t="n">
        <x:v>-0.00726138689168503</x:v>
      </x:c>
      <x:c r="F98" s="35" t="n">
        <x:v>12062</x:v>
      </x:c>
      <x:c r="G98" s="37"/>
      <x:c r="H98" s="27" t="str">
        <x:v>평균 효과 방향은 모두 양수이나 표본 또는 신뢰구간 기준을 통과하지 못함</x:v>
      </x:c>
    </x:row>
    <x:row r="99">
      <x:c r="A99" s="25" t="str">
        <x:v>GROCERY</x:v>
      </x:c>
      <x:c r="B99" s="26" t="str">
        <x:v>BAKING MIXES</x:v>
      </x:c>
      <x:c r="C99" s="26" t="str">
        <x:v>추가 실험 필요</x:v>
      </x:c>
      <x:c r="D99" s="31" t="n">
        <x:v>0.000637300771684383</x:v>
      </x:c>
      <x:c r="E99" s="33" t="n">
        <x:v>-0.010661348757575757</x:v>
      </x:c>
      <x:c r="F99" s="35" t="n">
        <x:v>4366</x:v>
      </x:c>
      <x:c r="G99" s="37"/>
      <x:c r="H99" s="27" t="str">
        <x:v>평균 효과 방향은 모두 양수이나 표본 또는 신뢰구간 기준을 통과하지 못함</x:v>
      </x:c>
    </x:row>
    <x:row r="100">
      <x:c r="A100" s="25" t="str">
        <x:v>GROCERY</x:v>
      </x:c>
      <x:c r="B100" s="26" t="str">
        <x:v>FLUID MILK PRODUCTS</x:v>
      </x:c>
      <x:c r="C100" s="26" t="str">
        <x:v>추가 실험 필요</x:v>
      </x:c>
      <x:c r="D100" s="31" t="n">
        <x:v>-0.004972313385266619</x:v>
      </x:c>
      <x:c r="E100" s="33" t="n">
        <x:v>-0.011529222037037037</x:v>
      </x:c>
      <x:c r="F100" s="35" t="n">
        <x:v>9645</x:v>
      </x:c>
      <x:c r="G100" s="37"/>
      <x:c r="H100" s="27" t="str">
        <x:v>평균 효과 방향은 모두 양수이나 표본 또는 신뢰구간 기준을 통과하지 못함</x:v>
      </x:c>
    </x:row>
    <x:row r="101">
      <x:c r="A101" s="25" t="str">
        <x:v>GROCERY</x:v>
      </x:c>
      <x:c r="B101" s="26" t="str">
        <x:v>FD WRAPS/BAGS/TRSH BG</x:v>
      </x:c>
      <x:c r="C101" s="26" t="str">
        <x:v>추가 실험 필요</x:v>
      </x:c>
      <x:c r="D101" s="31" t="n">
        <x:v>-0.002482775181046834</x:v>
      </x:c>
      <x:c r="E101" s="33" t="n">
        <x:v>-0.01917735285393258</x:v>
      </x:c>
      <x:c r="F101" s="35" t="n">
        <x:v>1186</x:v>
      </x:c>
      <x:c r="G101" s="37"/>
      <x:c r="H101" s="27" t="str">
        <x:v>평균 효과 방향은 모두 양수이나 표본 또는 신뢰구간 기준을 통과하지 못함</x:v>
      </x:c>
    </x:row>
    <x:row r="102">
      <x:c r="A102" s="25" t="str">
        <x:v>GROCERY</x:v>
      </x:c>
      <x:c r="B102" s="26" t="str">
        <x:v>SPICES &amp; EXTRACTS</x:v>
      </x:c>
      <x:c r="C102" s="26" t="str">
        <x:v>추가 실험 필요</x:v>
      </x:c>
      <x:c r="D102" s="31" t="n">
        <x:v>-0.008881551690333573</x:v>
      </x:c>
      <x:c r="E102" s="33" t="n">
        <x:v>-0.03180131386114649</x:v>
      </x:c>
      <x:c r="F102" s="35" t="n">
        <x:v>3660</x:v>
      </x:c>
      <x:c r="G102" s="37"/>
      <x:c r="H102" s="27" t="str">
        <x:v>평균 효과 방향은 모두 양수이나 표본 또는 신뢰구간 기준을 통과하지 못함</x:v>
      </x:c>
    </x:row>
    <x:row r="103">
      <x:c r="A103" s="25" t="str">
        <x:v>DRUG GM</x:v>
      </x:c>
      <x:c r="B103" s="26" t="str">
        <x:v>DIETARY AID PRODUCTS</x:v>
      </x:c>
      <x:c r="C103" s="26" t="str">
        <x:v>추가 실험 필요</x:v>
      </x:c>
      <x:c r="D103" s="31" t="n">
        <x:v>0.0019629795491864447</x:v>
      </x:c>
      <x:c r="E103" s="33" t="n">
        <x:v>-0.033943657842519695</x:v>
      </x:c>
      <x:c r="F103" s="35" t="n">
        <x:v>310</x:v>
      </x:c>
      <x:c r="G103" s="37"/>
      <x:c r="H103" s="27" t="str">
        <x:v>평균 효과 방향은 모두 양수이나 표본 또는 신뢰구간 기준을 통과하지 못함</x:v>
      </x:c>
    </x:row>
    <x:row r="104">
      <x:c r="A104" s="25" t="str">
        <x:v>PRODUCE</x:v>
      </x:c>
      <x:c r="B104" s="26" t="str">
        <x:v>ORGANICS FRUIT &amp; VEGETABLES</x:v>
      </x:c>
      <x:c r="C104" s="26" t="str">
        <x:v>결합 근거 부족</x:v>
      </x:c>
      <x:c r="D104" s="31" t="n">
        <x:v>0</x:v>
      </x:c>
      <x:c r="E104" s="33" t="n">
        <x:v>0.08333333000000001</x:v>
      </x:c>
      <x:c r="F104" s="35" t="n">
        <x:v>19</x:v>
      </x:c>
      <x:c r="G104" s="37"/>
      <x:c r="H104" s="27" t="str">
        <x:v>판매발생률·매출이 두 단독 방식보다 모두 높다는 조건을 충족하지 못함</x:v>
      </x:c>
    </x:row>
    <x:row r="105">
      <x:c r="A105" s="25" t="str">
        <x:v>DRUG GM</x:v>
      </x:c>
      <x:c r="B105" s="26" t="str">
        <x:v>LAWN AND GARDEN SHOP</x:v>
      </x:c>
      <x:c r="C105" s="26" t="str">
        <x:v>결합 근거 부족</x:v>
      </x:c>
      <x:c r="D105" s="31" t="n">
        <x:v>0.002246732026143789</x:v>
      </x:c>
      <x:c r="E105" s="33" t="n">
        <x:v>0.023954248555555557</x:v>
      </x:c>
      <x:c r="F105" s="35" t="n">
        <x:v>81</x:v>
      </x:c>
      <x:c r="G105" s="37"/>
      <x:c r="H105" s="27" t="str">
        <x:v>판매발생률·매출이 두 단독 방식보다 모두 높다는 조건을 충족하지 못함</x:v>
      </x:c>
    </x:row>
    <x:row r="106">
      <x:c r="A106" s="25" t="str">
        <x:v>DRUG GM</x:v>
      </x:c>
      <x:c r="B106" s="26" t="str">
        <x:v>FEMININE HYGIENE</x:v>
      </x:c>
      <x:c r="C106" s="26" t="str">
        <x:v>결합 근거 부족</x:v>
      </x:c>
      <x:c r="D106" s="31" t="n">
        <x:v>0.0006814878925517354</x:v>
      </x:c>
      <x:c r="E106" s="33" t="n">
        <x:v>0.015405782728682168</x:v>
      </x:c>
      <x:c r="F106" s="35" t="n">
        <x:v>3397</x:v>
      </x:c>
      <x:c r="G106" s="37"/>
      <x:c r="H106" s="27" t="str">
        <x:v>판매발생률·매출이 두 단독 방식보다 모두 높다는 조건을 충족하지 못함</x:v>
      </x:c>
    </x:row>
    <x:row r="107">
      <x:c r="A107" s="25" t="str">
        <x:v>GROCERY</x:v>
      </x:c>
      <x:c r="B107" s="26" t="str">
        <x:v>DINNER MXS:DRY</x:v>
      </x:c>
      <x:c r="C107" s="26" t="str">
        <x:v>결합 근거 부족</x:v>
      </x:c>
      <x:c r="D107" s="31" t="n">
        <x:v>0.007827604711431572</x:v>
      </x:c>
      <x:c r="E107" s="33" t="n">
        <x:v>0.00960783438655462</x:v>
      </x:c>
      <x:c r="F107" s="35" t="n">
        <x:v>3674</x:v>
      </x:c>
      <x:c r="G107" s="37"/>
      <x:c r="H107" s="27" t="str">
        <x:v>판매발생률·매출이 두 단독 방식보다 모두 높다는 조건을 충족하지 못함</x:v>
      </x:c>
    </x:row>
    <x:row r="108">
      <x:c r="A108" s="25" t="str">
        <x:v>DRUG GM</x:v>
      </x:c>
      <x:c r="B108" s="26" t="str">
        <x:v>HALLOWEEN</x:v>
      </x:c>
      <x:c r="C108" s="26" t="str">
        <x:v>결합 근거 부족</x:v>
      </x:c>
      <x:c r="D108" s="31" t="n">
        <x:v>0.002257142857142858</x:v>
      </x:c>
      <x:c r="E108" s="33" t="n">
        <x:v>0.005534441520000002</x:v>
      </x:c>
      <x:c r="F108" s="35" t="n">
        <x:v>227</x:v>
      </x:c>
      <x:c r="G108" s="37"/>
      <x:c r="H108" s="27" t="str">
        <x:v>판매발생률·매출이 두 단독 방식보다 모두 높다는 조건을 충족하지 못함</x:v>
      </x:c>
    </x:row>
    <x:row r="109">
      <x:c r="A109" s="25" t="str">
        <x:v>GROCERY</x:v>
      </x:c>
      <x:c r="B109" s="26" t="str">
        <x:v>CAT FOOD</x:v>
      </x:c>
      <x:c r="C109" s="26" t="str">
        <x:v>결합 근거 부족</x:v>
      </x:c>
      <x:c r="D109" s="31" t="n">
        <x:v>-0.00019044241810199308</x:v>
      </x:c>
      <x:c r="E109" s="33" t="n">
        <x:v>0.00536767836</x:v>
      </x:c>
      <x:c r="F109" s="35" t="n">
        <x:v>189</x:v>
      </x:c>
      <x:c r="G109" s="37"/>
      <x:c r="H109" s="27" t="str">
        <x:v>판매발생률·매출이 두 단독 방식보다 모두 높다는 조건을 충족하지 못함</x:v>
      </x:c>
    </x:row>
    <x:row r="110">
      <x:c r="A110" s="25" t="str">
        <x:v>NUTRITION</x:v>
      </x:c>
      <x:c r="B110" s="26" t="str">
        <x:v>BEVERAGE</x:v>
      </x:c>
      <x:c r="C110" s="26" t="str">
        <x:v>결합 근거 부족</x:v>
      </x:c>
      <x:c r="D110" s="31" t="n">
        <x:v>0.002450980392156859</x:v>
      </x:c>
      <x:c r="E110" s="33" t="n">
        <x:v>0.0049019609411764704</x:v>
      </x:c>
      <x:c r="F110" s="35" t="n">
        <x:v>102</x:v>
      </x:c>
      <x:c r="G110" s="37"/>
      <x:c r="H110" s="27" t="str">
        <x:v>판매발생률·매출이 두 단독 방식보다 모두 높다는 조건을 충족하지 못함</x:v>
      </x:c>
    </x:row>
    <x:row r="111">
      <x:c r="A111" s="25" t="str">
        <x:v>GROCERY</x:v>
      </x:c>
      <x:c r="B111" s="26" t="str">
        <x:v>BLEACH</x:v>
      </x:c>
      <x:c r="C111" s="26" t="str">
        <x:v>결합 근거 부족</x:v>
      </x:c>
      <x:c r="D111" s="31" t="n">
        <x:v>0.0005428785479936385</x:v>
      </x:c>
      <x:c r="E111" s="33" t="n">
        <x:v>0.0040200387619047625</x:v>
      </x:c>
      <x:c r="F111" s="35" t="n">
        <x:v>945</x:v>
      </x:c>
      <x:c r="G111" s="37"/>
      <x:c r="H111" s="27" t="str">
        <x:v>판매발생률·매출이 두 단독 방식보다 모두 높다는 조건을 충족하지 못함</x:v>
      </x:c>
    </x:row>
    <x:row r="112">
      <x:c r="A112" s="25" t="str">
        <x:v>DRUG GM</x:v>
      </x:c>
      <x:c r="B112" s="26" t="str">
        <x:v>SUNTAN</x:v>
      </x:c>
      <x:c r="C112" s="26" t="str">
        <x:v>결합 근거 부족</x:v>
      </x:c>
      <x:c r="D112" s="31" t="n">
        <x:v>-0.0010145454937100186</x:v>
      </x:c>
      <x:c r="E112" s="33" t="n">
        <x:v>0.002918440410256411</x:v>
      </x:c>
      <x:c r="F112" s="35" t="n">
        <x:v>4917</x:v>
      </x:c>
      <x:c r="G112" s="37"/>
      <x:c r="H112" s="27" t="str">
        <x:v>판매발생률·매출이 두 단독 방식보다 모두 높다는 조건을 충족하지 못함</x:v>
      </x:c>
    </x:row>
    <x:row r="113">
      <x:c r="A113" s="25" t="str">
        <x:v>GROCERY</x:v>
      </x:c>
      <x:c r="B113" s="26" t="str">
        <x:v>SNACK NUTS</x:v>
      </x:c>
      <x:c r="C113" s="26" t="str">
        <x:v>결합 근거 부족</x:v>
      </x:c>
      <x:c r="D113" s="31" t="n">
        <x:v>0.004058698503142937</x:v>
      </x:c>
      <x:c r="E113" s="33" t="n">
        <x:v>0.0027900124062500004</x:v>
      </x:c>
      <x:c r="F113" s="35" t="n">
        <x:v>1002</x:v>
      </x:c>
      <x:c r="G113" s="37"/>
      <x:c r="H113" s="27" t="str">
        <x:v>판매발생률·매출이 두 단독 방식보다 모두 높다는 조건을 충족하지 못함</x:v>
      </x:c>
    </x:row>
    <x:row r="114">
      <x:c r="A114" s="25" t="str">
        <x:v>GROCERY</x:v>
      </x:c>
      <x:c r="B114" s="26" t="str">
        <x:v>PWDR/CRYSTL DRNK MX</x:v>
      </x:c>
      <x:c r="C114" s="26" t="str">
        <x:v>결합 근거 부족</x:v>
      </x:c>
      <x:c r="D114" s="31" t="n">
        <x:v>0.0014202269648523715</x:v>
      </x:c>
      <x:c r="E114" s="33" t="n">
        <x:v>0.0006662679347826088</x:v>
      </x:c>
      <x:c r="F114" s="35" t="n">
        <x:v>1845</x:v>
      </x:c>
      <x:c r="G114" s="37"/>
      <x:c r="H114" s="27" t="str">
        <x:v>판매발생률·매출이 두 단독 방식보다 모두 높다는 조건을 충족하지 못함</x:v>
      </x:c>
    </x:row>
    <x:row r="115">
      <x:c r="A115" s="25" t="str">
        <x:v>GROCERY</x:v>
      </x:c>
      <x:c r="B115" s="26" t="str">
        <x:v>FROZEN CHICKEN</x:v>
      </x:c>
      <x:c r="C115" s="26" t="str">
        <x:v>결합 근거 부족</x:v>
      </x:c>
      <x:c r="D115" s="31" t="n">
        <x:v>0.0017894835708600844</x:v>
      </x:c>
      <x:c r="E115" s="33" t="n">
        <x:v>0.0006438984615384588</x:v>
      </x:c>
      <x:c r="F115" s="35" t="n">
        <x:v>413</x:v>
      </x:c>
      <x:c r="G115" s="37"/>
      <x:c r="H115" s="27" t="str">
        <x:v>판매발생률·매출이 두 단독 방식보다 모두 높다는 조건을 충족하지 못함</x:v>
      </x:c>
    </x:row>
    <x:row r="116">
      <x:c r="A116" s="25" t="str">
        <x:v>DRUG GM</x:v>
      </x:c>
      <x:c r="B116" s="26" t="str">
        <x:v>VITAMINS</x:v>
      </x:c>
      <x:c r="C116" s="26" t="str">
        <x:v>결합 근거 부족</x:v>
      </x:c>
      <x:c r="D116" s="31" t="n">
        <x:v>0.0007450456463513627</x:v>
      </x:c>
      <x:c r="E116" s="33" t="n">
        <x:v>0.00023181418338108923</x:v>
      </x:c>
      <x:c r="F116" s="35" t="n">
        <x:v>3018</x:v>
      </x:c>
      <x:c r="G116" s="37"/>
      <x:c r="H116" s="27" t="str">
        <x:v>판매발생률·매출이 두 단독 방식보다 모두 높다는 조건을 충족하지 못함</x:v>
      </x:c>
    </x:row>
    <x:row r="117">
      <x:c r="A117" s="25" t="str">
        <x:v>COSMETICS</x:v>
      </x:c>
      <x:c r="B117" s="26" t="str">
        <x:v>COSMETIC ACCESSORIES</x:v>
      </x:c>
      <x:c r="C117" s="26" t="str">
        <x:v>결합 근거 부족</x:v>
      </x:c>
      <x:c r="D117" s="31" t="n">
        <x:v>0</x:v>
      </x:c>
      <x:c r="E117" s="33" t="n">
        <x:v>0</x:v>
      </x:c>
      <x:c r="F117" s="35" t="n">
        <x:v>3</x:v>
      </x:c>
      <x:c r="G117" s="37"/>
      <x:c r="H117" s="27" t="str">
        <x:v>판매발생률·매출이 두 단독 방식보다 모두 높다는 조건을 충족하지 못함</x:v>
      </x:c>
    </x:row>
    <x:row r="118">
      <x:c r="A118" s="25" t="str">
        <x:v>DRUG GM</x:v>
      </x:c>
      <x:c r="B118" s="26" t="str">
        <x:v>ANTACIDS</x:v>
      </x:c>
      <x:c r="C118" s="26" t="str">
        <x:v>결합 근거 부족</x:v>
      </x:c>
      <x:c r="D118" s="31" t="n">
        <x:v>0</x:v>
      </x:c>
      <x:c r="E118" s="33" t="n">
        <x:v>0</x:v>
      </x:c>
      <x:c r="F118" s="35" t="n">
        <x:v>304</x:v>
      </x:c>
      <x:c r="G118" s="37"/>
      <x:c r="H118" s="27" t="str">
        <x:v>판매발생률·매출이 두 단독 방식보다 모두 높다는 조건을 충족하지 못함</x:v>
      </x:c>
    </x:row>
    <x:row r="119">
      <x:c r="A119" s="25" t="str">
        <x:v>DRUG GM</x:v>
      </x:c>
      <x:c r="B119" s="26" t="str">
        <x:v>APPAREL</x:v>
      </x:c>
      <x:c r="C119" s="26" t="str">
        <x:v>결합 근거 부족</x:v>
      </x:c>
      <x:c r="D119" s="31" t="n">
        <x:v>0</x:v>
      </x:c>
      <x:c r="E119" s="33" t="n">
        <x:v>0</x:v>
      </x:c>
      <x:c r="F119" s="35" t="n">
        <x:v>50</x:v>
      </x:c>
      <x:c r="G119" s="37"/>
      <x:c r="H119" s="27" t="str">
        <x:v>판매발생률·매출이 두 단독 방식보다 모두 높다는 조건을 충족하지 못함</x:v>
      </x:c>
    </x:row>
    <x:row r="120">
      <x:c r="A120" s="25" t="str">
        <x:v>DRUG GM</x:v>
      </x:c>
      <x:c r="B120" s="26" t="str">
        <x:v>AUDIO/VIDEO PRODUCTS</x:v>
      </x:c>
      <x:c r="C120" s="26" t="str">
        <x:v>결합 근거 부족</x:v>
      </x:c>
      <x:c r="D120" s="31" t="n">
        <x:v>0</x:v>
      </x:c>
      <x:c r="E120" s="33" t="n">
        <x:v>0</x:v>
      </x:c>
      <x:c r="F120" s="35" t="n">
        <x:v>82</x:v>
      </x:c>
      <x:c r="G120" s="37"/>
      <x:c r="H120" s="27" t="str">
        <x:v>판매발생률·매출이 두 단독 방식보다 모두 높다는 조건을 충족하지 못함</x:v>
      </x:c>
    </x:row>
    <x:row r="121">
      <x:c r="A121" s="25" t="str">
        <x:v>DRUG GM</x:v>
      </x:c>
      <x:c r="B121" s="26" t="str">
        <x:v>BROOMS AND MOPS</x:v>
      </x:c>
      <x:c r="C121" s="26" t="str">
        <x:v>결합 근거 부족</x:v>
      </x:c>
      <x:c r="D121" s="31" t="n">
        <x:v>0</x:v>
      </x:c>
      <x:c r="E121" s="33" t="n">
        <x:v>0</x:v>
      </x:c>
      <x:c r="F121" s="35" t="n">
        <x:v>96</x:v>
      </x:c>
      <x:c r="G121" s="37"/>
      <x:c r="H121" s="27" t="str">
        <x:v>판매발생률·매출이 두 단독 방식보다 모두 높다는 조건을 충족하지 못함</x:v>
      </x:c>
    </x:row>
    <x:row r="122">
      <x:c r="A122" s="25" t="str">
        <x:v>DRUG GM</x:v>
      </x:c>
      <x:c r="B122" s="26" t="str">
        <x:v>CONTINUITIES</x:v>
      </x:c>
      <x:c r="C122" s="26" t="str">
        <x:v>결합 근거 부족</x:v>
      </x:c>
      <x:c r="D122" s="31" t="n">
        <x:v>0</x:v>
      </x:c>
      <x:c r="E122" s="33" t="n">
        <x:v>0</x:v>
      </x:c>
      <x:c r="F122" s="35" t="n">
        <x:v>8</x:v>
      </x:c>
      <x:c r="G122" s="37"/>
      <x:c r="H122" s="27" t="str">
        <x:v>판매발생률·매출이 두 단독 방식보다 모두 높다는 조건을 충족하지 못함</x:v>
      </x:c>
    </x:row>
    <x:row r="123">
      <x:c r="A123" s="25" t="str">
        <x:v>DRUG GM</x:v>
      </x:c>
      <x:c r="B123" s="26" t="str">
        <x:v>FOOT CARE PRODUCTS</x:v>
      </x:c>
      <x:c r="C123" s="26" t="str">
        <x:v>결합 근거 부족</x:v>
      </x:c>
      <x:c r="D123" s="31" t="n">
        <x:v>0</x:v>
      </x:c>
      <x:c r="E123" s="33" t="n">
        <x:v>0</x:v>
      </x:c>
      <x:c r="F123" s="35" t="n">
        <x:v>2</x:v>
      </x:c>
      <x:c r="G123" s="37"/>
      <x:c r="H123" s="27" t="str">
        <x:v>판매발생률·매출이 두 단독 방식보다 모두 높다는 조건을 충족하지 못함</x:v>
      </x:c>
    </x:row>
    <x:row r="124">
      <x:c r="A124" s="25" t="str">
        <x:v>DRUG GM</x:v>
      </x:c>
      <x:c r="B124" s="26" t="str">
        <x:v>GLASSWARE &amp; DINNERWARE</x:v>
      </x:c>
      <x:c r="C124" s="26" t="str">
        <x:v>결합 근거 부족</x:v>
      </x:c>
      <x:c r="D124" s="31" t="n">
        <x:v>0</x:v>
      </x:c>
      <x:c r="E124" s="33" t="n">
        <x:v>0</x:v>
      </x:c>
      <x:c r="F124" s="35" t="n">
        <x:v>6</x:v>
      </x:c>
      <x:c r="G124" s="37"/>
      <x:c r="H124" s="27" t="str">
        <x:v>판매발생률·매출이 두 단독 방식보다 모두 높다는 조건을 충족하지 못함</x:v>
      </x:c>
    </x:row>
    <x:row r="125">
      <x:c r="A125" s="25" t="str">
        <x:v>DRUG GM</x:v>
      </x:c>
      <x:c r="B125" s="26" t="str">
        <x:v>HAIR CARE ACCESSORIES</x:v>
      </x:c>
      <x:c r="C125" s="26" t="str">
        <x:v>결합 근거 부족</x:v>
      </x:c>
      <x:c r="D125" s="31" t="n">
        <x:v>0</x:v>
      </x:c>
      <x:c r="E125" s="33" t="n">
        <x:v>0</x:v>
      </x:c>
      <x:c r="F125" s="35" t="n">
        <x:v>4</x:v>
      </x:c>
      <x:c r="G125" s="37"/>
      <x:c r="H125" s="27" t="str">
        <x:v>판매발생률·매출이 두 단독 방식보다 모두 높다는 조건을 충족하지 못함</x:v>
      </x:c>
    </x:row>
    <x:row r="126">
      <x:c r="A126" s="25" t="str">
        <x:v>DRUG GM</x:v>
      </x:c>
      <x:c r="B126" s="26" t="str">
        <x:v>HARDWARE SUPPLIES</x:v>
      </x:c>
      <x:c r="C126" s="26" t="str">
        <x:v>결합 근거 부족</x:v>
      </x:c>
      <x:c r="D126" s="31" t="n">
        <x:v>0</x:v>
      </x:c>
      <x:c r="E126" s="33" t="n">
        <x:v>0</x:v>
      </x:c>
      <x:c r="F126" s="35" t="n">
        <x:v>1</x:v>
      </x:c>
      <x:c r="G126" s="37"/>
      <x:c r="H126" s="27" t="str">
        <x:v>판매발생률·매출이 두 단독 방식보다 모두 높다는 조건을 충족하지 못함</x:v>
      </x:c>
    </x:row>
    <x:row r="127">
      <x:c r="A127" s="25" t="str">
        <x:v>DRUG GM</x:v>
      </x:c>
      <x:c r="B127" s="26" t="str">
        <x:v>HOME FURNISHINGS</x:v>
      </x:c>
      <x:c r="C127" s="26" t="str">
        <x:v>결합 근거 부족</x:v>
      </x:c>
      <x:c r="D127" s="31" t="n">
        <x:v>0</x:v>
      </x:c>
      <x:c r="E127" s="33" t="n">
        <x:v>0</x:v>
      </x:c>
      <x:c r="F127" s="35" t="n">
        <x:v>1</x:v>
      </x:c>
      <x:c r="G127" s="37"/>
      <x:c r="H127" s="27" t="str">
        <x:v>판매발생률·매출이 두 단독 방식보다 모두 높다는 조건을 충족하지 못함</x:v>
      </x:c>
    </x:row>
    <x:row r="128">
      <x:c r="A128" s="25" t="str">
        <x:v>DRUG GM</x:v>
      </x:c>
      <x:c r="B128" s="26" t="str">
        <x:v>HOSIERY/SOCKS</x:v>
      </x:c>
      <x:c r="C128" s="26" t="str">
        <x:v>결합 근거 부족</x:v>
      </x:c>
      <x:c r="D128" s="31" t="n">
        <x:v>0</x:v>
      </x:c>
      <x:c r="E128" s="33" t="n">
        <x:v>0</x:v>
      </x:c>
      <x:c r="F128" s="35" t="n">
        <x:v>9</x:v>
      </x:c>
      <x:c r="G128" s="37"/>
      <x:c r="H128" s="27" t="str">
        <x:v>판매발생률·매출이 두 단독 방식보다 모두 높다는 조건을 충족하지 못함</x:v>
      </x:c>
    </x:row>
    <x:row r="129">
      <x:c r="A129" s="25" t="str">
        <x:v>DRUG GM</x:v>
      </x:c>
      <x:c r="B129" s="26" t="str">
        <x:v>INSECTICIDES</x:v>
      </x:c>
      <x:c r="C129" s="26" t="str">
        <x:v>결합 근거 부족</x:v>
      </x:c>
      <x:c r="D129" s="31" t="n">
        <x:v>0</x:v>
      </x:c>
      <x:c r="E129" s="33" t="n">
        <x:v>0</x:v>
      </x:c>
      <x:c r="F129" s="35" t="n">
        <x:v>42</x:v>
      </x:c>
      <x:c r="G129" s="37"/>
      <x:c r="H129" s="27" t="str">
        <x:v>판매발생률·매출이 두 단독 방식보다 모두 높다는 조건을 충족하지 못함</x:v>
      </x:c>
    </x:row>
    <x:row r="130">
      <x:c r="A130" s="25" t="str">
        <x:v>DRUG GM</x:v>
      </x:c>
      <x:c r="B130" s="26" t="str">
        <x:v>LONG DISTANCE CALLING CARDS</x:v>
      </x:c>
      <x:c r="C130" s="26" t="str">
        <x:v>결합 근거 부족</x:v>
      </x:c>
      <x:c r="D130" s="31" t="n">
        <x:v>0</x:v>
      </x:c>
      <x:c r="E130" s="33" t="n">
        <x:v>0</x:v>
      </x:c>
      <x:c r="F130" s="35" t="n">
        <x:v>5</x:v>
      </x:c>
      <x:c r="G130" s="37"/>
      <x:c r="H130" s="27" t="str">
        <x:v>판매발생률·매출이 두 단독 방식보다 모두 높다는 조건을 충족하지 못함</x:v>
      </x:c>
    </x:row>
    <x:row r="131">
      <x:c r="A131" s="25" t="str">
        <x:v>DRUG GM</x:v>
      </x:c>
      <x:c r="B131" s="26" t="str">
        <x:v>PREPAID WIRELESS&amp;ACCESSORIES</x:v>
      </x:c>
      <x:c r="C131" s="26" t="str">
        <x:v>결합 근거 부족</x:v>
      </x:c>
      <x:c r="D131" s="31" t="n">
        <x:v>0</x:v>
      </x:c>
      <x:c r="E131" s="33" t="n">
        <x:v>0</x:v>
      </x:c>
      <x:c r="F131" s="35" t="n">
        <x:v>6</x:v>
      </x:c>
      <x:c r="G131" s="37"/>
      <x:c r="H131" s="27" t="str">
        <x:v>판매발생률·매출이 두 단독 방식보다 모두 높다는 조건을 충족하지 못함</x:v>
      </x:c>
    </x:row>
    <x:row r="132">
      <x:c r="A132" s="25" t="str">
        <x:v>DRUG GM</x:v>
      </x:c>
      <x:c r="B132" s="26" t="str">
        <x:v>SPORTS MEMORABLILIA</x:v>
      </x:c>
      <x:c r="C132" s="26" t="str">
        <x:v>결합 근거 부족</x:v>
      </x:c>
      <x:c r="D132" s="31" t="n">
        <x:v>0</x:v>
      </x:c>
      <x:c r="E132" s="33" t="n">
        <x:v>0</x:v>
      </x:c>
      <x:c r="F132" s="35" t="n">
        <x:v>3</x:v>
      </x:c>
      <x:c r="G132" s="37"/>
      <x:c r="H132" s="27" t="str">
        <x:v>판매발생률·매출이 두 단독 방식보다 모두 높다는 조건을 충족하지 못함</x:v>
      </x:c>
    </x:row>
    <x:row r="133">
      <x:c r="A133" s="25" t="str">
        <x:v>DRUG GM</x:v>
      </x:c>
      <x:c r="B133" s="26" t="str">
        <x:v>VALENTINE</x:v>
      </x:c>
      <x:c r="C133" s="26" t="str">
        <x:v>결합 근거 부족</x:v>
      </x:c>
      <x:c r="D133" s="31" t="n">
        <x:v>0</x:v>
      </x:c>
      <x:c r="E133" s="33" t="n">
        <x:v>0</x:v>
      </x:c>
      <x:c r="F133" s="35" t="n">
        <x:v>80</x:v>
      </x:c>
      <x:c r="G133" s="37"/>
      <x:c r="H133" s="27" t="str">
        <x:v>판매발생률·매출이 두 단독 방식보다 모두 높다는 조건을 충족하지 못함</x:v>
      </x:c>
    </x:row>
    <x:row r="134">
      <x:c r="A134" s="25" t="str">
        <x:v>DRUG GM</x:v>
      </x:c>
      <x:c r="B134" s="26" t="str">
        <x:v>WATCHES/CALCULATORS/LOBBY</x:v>
      </x:c>
      <x:c r="C134" s="26" t="str">
        <x:v>결합 근거 부족</x:v>
      </x:c>
      <x:c r="D134" s="31" t="n">
        <x:v>0</x:v>
      </x:c>
      <x:c r="E134" s="33" t="n">
        <x:v>0</x:v>
      </x:c>
      <x:c r="F134" s="35" t="n">
        <x:v>1</x:v>
      </x:c>
      <x:c r="G134" s="37"/>
      <x:c r="H134" s="27" t="str">
        <x:v>판매발생률·매출이 두 단독 방식보다 모두 높다는 조건을 충족하지 못함</x:v>
      </x:c>
    </x:row>
    <x:row r="135">
      <x:c r="A135" s="25" t="str">
        <x:v>GROCERY</x:v>
      </x:c>
      <x:c r="B135" s="26" t="str">
        <x:v>FRZN SEAFOOD</x:v>
      </x:c>
      <x:c r="C135" s="26" t="str">
        <x:v>결합 근거 부족</x:v>
      </x:c>
      <x:c r="D135" s="31" t="n">
        <x:v>0</x:v>
      </x:c>
      <x:c r="E135" s="33" t="n">
        <x:v>0</x:v>
      </x:c>
      <x:c r="F135" s="35" t="n">
        <x:v>132</x:v>
      </x:c>
      <x:c r="G135" s="37"/>
      <x:c r="H135" s="27" t="str">
        <x:v>판매발생률·매출이 두 단독 방식보다 모두 높다는 조건을 충족하지 못함</x:v>
      </x:c>
    </x:row>
    <x:row r="136">
      <x:c r="A136" s="25" t="str">
        <x:v>GROCERY</x:v>
      </x:c>
      <x:c r="B136" s="26" t="str">
        <x:v>IMPORTED WINE</x:v>
      </x:c>
      <x:c r="C136" s="26" t="str">
        <x:v>결합 근거 부족</x:v>
      </x:c>
      <x:c r="D136" s="31" t="n">
        <x:v>0</x:v>
      </x:c>
      <x:c r="E136" s="33" t="n">
        <x:v>0</x:v>
      </x:c>
      <x:c r="F136" s="35" t="n">
        <x:v>146</x:v>
      </x:c>
      <x:c r="G136" s="37"/>
      <x:c r="H136" s="27" t="str">
        <x:v>판매발생률·매출이 두 단독 방식보다 모두 높다는 조건을 충족하지 못함</x:v>
      </x:c>
    </x:row>
    <x:row r="137">
      <x:c r="A137" s="25" t="str">
        <x:v>GROCERY</x:v>
      </x:c>
      <x:c r="B137" s="26" t="str">
        <x:v>MOLASSES/SYRUP/PANCAKE MIXS</x:v>
      </x:c>
      <x:c r="C137" s="26" t="str">
        <x:v>결합 근거 부족</x:v>
      </x:c>
      <x:c r="D137" s="31" t="n">
        <x:v>0</x:v>
      </x:c>
      <x:c r="E137" s="33" t="n">
        <x:v>0</x:v>
      </x:c>
      <x:c r="F137" s="35" t="n">
        <x:v>1</x:v>
      </x:c>
      <x:c r="G137" s="37"/>
      <x:c r="H137" s="27" t="str">
        <x:v>판매발생률·매출이 두 단독 방식보다 모두 높다는 조건을 충족하지 못함</x:v>
      </x:c>
    </x:row>
    <x:row r="138">
      <x:c r="A138" s="25" t="str">
        <x:v>GROCERY</x:v>
      </x:c>
      <x:c r="B138" s="26" t="str">
        <x:v>NEW AGE</x:v>
      </x:c>
      <x:c r="C138" s="26" t="str">
        <x:v>결합 근거 부족</x:v>
      </x:c>
      <x:c r="D138" s="31" t="n">
        <x:v>0</x:v>
      </x:c>
      <x:c r="E138" s="33" t="n">
        <x:v>0</x:v>
      </x:c>
      <x:c r="F138" s="35" t="n">
        <x:v>26</x:v>
      </x:c>
      <x:c r="G138" s="37"/>
      <x:c r="H138" s="27" t="str">
        <x:v>판매발생률·매출이 두 단독 방식보다 모두 높다는 조건을 충족하지 못함</x:v>
      </x:c>
    </x:row>
    <x:row r="139">
      <x:c r="A139" s="25" t="str">
        <x:v>GROCERY</x:v>
      </x:c>
      <x:c r="B139" s="26" t="str">
        <x:v>PET CARE SUPPLIES</x:v>
      </x:c>
      <x:c r="C139" s="26" t="str">
        <x:v>결합 근거 부족</x:v>
      </x:c>
      <x:c r="D139" s="31" t="n">
        <x:v>0</x:v>
      </x:c>
      <x:c r="E139" s="33" t="n">
        <x:v>0</x:v>
      </x:c>
      <x:c r="F139" s="35" t="n">
        <x:v>66</x:v>
      </x:c>
      <x:c r="G139" s="37"/>
      <x:c r="H139" s="27" t="str">
        <x:v>판매발생률·매출이 두 단독 방식보다 모두 높다는 조건을 충족하지 못함</x:v>
      </x:c>
    </x:row>
    <x:row r="140">
      <x:c r="A140" s="25" t="str">
        <x:v>GROCERY</x:v>
      </x:c>
      <x:c r="B140" s="26" t="str">
        <x:v>TEAS</x:v>
      </x:c>
      <x:c r="C140" s="26" t="str">
        <x:v>결합 근거 부족</x:v>
      </x:c>
      <x:c r="D140" s="31" t="n">
        <x:v>0</x:v>
      </x:c>
      <x:c r="E140" s="33" t="n">
        <x:v>0</x:v>
      </x:c>
      <x:c r="F140" s="35" t="n">
        <x:v>10</x:v>
      </x:c>
      <x:c r="G140" s="37"/>
      <x:c r="H140" s="27" t="str">
        <x:v>판매발생률·매출이 두 단독 방식보다 모두 높다는 조건을 충족하지 못함</x:v>
      </x:c>
    </x:row>
    <x:row r="141">
      <x:c r="A141" s="25" t="str">
        <x:v>MEAT</x:v>
      </x:c>
      <x:c r="B141" s="26" t="str">
        <x:v>EXOTIC GAME/FOWL</x:v>
      </x:c>
      <x:c r="C141" s="26" t="str">
        <x:v>결합 근거 부족</x:v>
      </x:c>
      <x:c r="D141" s="31" t="n">
        <x:v>0</x:v>
      </x:c>
      <x:c r="E141" s="33" t="n">
        <x:v>0</x:v>
      </x:c>
      <x:c r="F141" s="35" t="n">
        <x:v>26</x:v>
      </x:c>
      <x:c r="G141" s="37"/>
      <x:c r="H141" s="27" t="str">
        <x:v>판매발생률·매출이 두 단독 방식보다 모두 높다는 조건을 충족하지 못함</x:v>
      </x:c>
    </x:row>
    <x:row r="142">
      <x:c r="A142" s="25" t="str">
        <x:v>MEAT</x:v>
      </x:c>
      <x:c r="B142" s="26" t="str">
        <x:v>PORK</x:v>
      </x:c>
      <x:c r="C142" s="26" t="str">
        <x:v>결합 근거 부족</x:v>
      </x:c>
      <x:c r="D142" s="31" t="n">
        <x:v>0</x:v>
      </x:c>
      <x:c r="E142" s="33" t="n">
        <x:v>0</x:v>
      </x:c>
      <x:c r="F142" s="35" t="n">
        <x:v>8</x:v>
      </x:c>
      <x:c r="G142" s="37"/>
      <x:c r="H142" s="27" t="str">
        <x:v>판매발생률·매출이 두 단독 방식보다 모두 높다는 조건을 충족하지 못함</x:v>
      </x:c>
    </x:row>
    <x:row r="143">
      <x:c r="A143" s="25" t="str">
        <x:v>MISC. TRANS.</x:v>
      </x:c>
      <x:c r="B143" s="26" t="str">
        <x:v>NO COMMODITY DESCRIPTION</x:v>
      </x:c>
      <x:c r="C143" s="26" t="str">
        <x:v>결합 근거 부족</x:v>
      </x:c>
      <x:c r="D143" s="31" t="n">
        <x:v>0</x:v>
      </x:c>
      <x:c r="E143" s="33" t="n">
        <x:v>0</x:v>
      </x:c>
      <x:c r="F143" s="35" t="n">
        <x:v>6</x:v>
      </x:c>
      <x:c r="G143" s="37"/>
      <x:c r="H143" s="27" t="str">
        <x:v>판매발생률·매출이 두 단독 방식보다 모두 높다는 조건을 충족하지 못함</x:v>
      </x:c>
    </x:row>
    <x:row r="144">
      <x:c r="A144" s="25" t="str">
        <x:v>NUTRITION</x:v>
      </x:c>
      <x:c r="B144" s="26" t="str">
        <x:v>FROZEN</x:v>
      </x:c>
      <x:c r="C144" s="26" t="str">
        <x:v>결합 근거 부족</x:v>
      </x:c>
      <x:c r="D144" s="31" t="n">
        <x:v>0</x:v>
      </x:c>
      <x:c r="E144" s="33" t="n">
        <x:v>0</x:v>
      </x:c>
      <x:c r="F144" s="35" t="n">
        <x:v>5</x:v>
      </x:c>
      <x:c r="G144" s="37"/>
      <x:c r="H144" s="27" t="str">
        <x:v>판매발생률·매출이 두 단독 방식보다 모두 높다는 조건을 충족하지 못함</x:v>
      </x:c>
    </x:row>
    <x:row r="145">
      <x:c r="A145" s="25" t="str">
        <x:v>POSTAL CENTER</x:v>
      </x:c>
      <x:c r="B145" s="26" t="str">
        <x:v>CANDY - PACKAGED</x:v>
      </x:c>
      <x:c r="C145" s="26" t="str">
        <x:v>결합 근거 부족</x:v>
      </x:c>
      <x:c r="D145" s="31" t="n">
        <x:v>0</x:v>
      </x:c>
      <x:c r="E145" s="33" t="n">
        <x:v>0</x:v>
      </x:c>
      <x:c r="F145" s="35" t="n">
        <x:v>15</x:v>
      </x:c>
      <x:c r="G145" s="37"/>
      <x:c r="H145" s="27" t="str">
        <x:v>판매발생률·매출이 두 단독 방식보다 모두 높다는 조건을 충족하지 못함</x:v>
      </x:c>
    </x:row>
    <x:row r="146">
      <x:c r="A146" s="25" t="str">
        <x:v>PRODUCE</x:v>
      </x:c>
      <x:c r="B146" s="26" t="str">
        <x:v>CITRUS</x:v>
      </x:c>
      <x:c r="C146" s="26" t="str">
        <x:v>결합 근거 부족</x:v>
      </x:c>
      <x:c r="D146" s="31" t="n">
        <x:v>0</x:v>
      </x:c>
      <x:c r="E146" s="33" t="n">
        <x:v>0</x:v>
      </x:c>
      <x:c r="F146" s="35" t="n">
        <x:v>17</x:v>
      </x:c>
      <x:c r="G146" s="37"/>
      <x:c r="H146" s="27" t="str">
        <x:v>판매발생률·매출이 두 단독 방식보다 모두 높다는 조건을 충족하지 못함</x:v>
      </x:c>
    </x:row>
    <x:row r="147">
      <x:c r="A147" s="25" t="str">
        <x:v>PRODUCE</x:v>
      </x:c>
      <x:c r="B147" s="26" t="str">
        <x:v>VALUE ADDED VEGETABLES</x:v>
      </x:c>
      <x:c r="C147" s="26" t="str">
        <x:v>결합 근거 부족</x:v>
      </x:c>
      <x:c r="D147" s="31" t="n">
        <x:v>0</x:v>
      </x:c>
      <x:c r="E147" s="33" t="n">
        <x:v>0</x:v>
      </x:c>
      <x:c r="F147" s="35" t="n">
        <x:v>10</x:v>
      </x:c>
      <x:c r="G147" s="37"/>
      <x:c r="H147" s="27" t="str">
        <x:v>판매발생률·매출이 두 단독 방식보다 모두 높다는 조건을 충족하지 못함</x:v>
      </x:c>
    </x:row>
    <x:row r="148">
      <x:c r="A148" s="25" t="str">
        <x:v>SEAFOOD-PCKGD</x:v>
      </x:c>
      <x:c r="B148" s="26" t="str">
        <x:v>SEAFOOD - MISC</x:v>
      </x:c>
      <x:c r="C148" s="26" t="str">
        <x:v>결합 근거 부족</x:v>
      </x:c>
      <x:c r="D148" s="31" t="n">
        <x:v>0</x:v>
      </x:c>
      <x:c r="E148" s="33" t="n">
        <x:v>0</x:v>
      </x:c>
      <x:c r="F148" s="35" t="n">
        <x:v>79</x:v>
      </x:c>
      <x:c r="G148" s="37"/>
      <x:c r="H148" s="27" t="str">
        <x:v>판매발생률·매출이 두 단독 방식보다 모두 높다는 조건을 충족하지 못함</x:v>
      </x:c>
    </x:row>
    <x:row r="149">
      <x:c r="A149" s="25" t="str">
        <x:v>SPIRITS</x:v>
      </x:c>
      <x:c r="B149" s="26" t="str">
        <x:v>LIQUOR</x:v>
      </x:c>
      <x:c r="C149" s="26" t="str">
        <x:v>결합 근거 부족</x:v>
      </x:c>
      <x:c r="D149" s="31" t="n">
        <x:v>-0.0021105010295127003</x:v>
      </x:c>
      <x:c r="E149" s="33" t="n">
        <x:v>0</x:v>
      </x:c>
      <x:c r="F149" s="35" t="n">
        <x:v>28</x:v>
      </x:c>
      <x:c r="G149" s="37"/>
      <x:c r="H149" s="27" t="str">
        <x:v>판매발생률·매출이 두 단독 방식보다 모두 높다는 조건을 충족하지 못함</x:v>
      </x:c>
    </x:row>
    <x:row r="150">
      <x:c r="A150" s="25" t="str">
        <x:v>PASTRY</x:v>
      </x:c>
      <x:c r="B150" s="26" t="str">
        <x:v>ROLLS</x:v>
      </x:c>
      <x:c r="C150" s="26" t="str">
        <x:v>결합 근거 부족</x:v>
      </x:c>
      <x:c r="D150" s="31" t="n">
        <x:v>-0.0034590994891474914</x:v>
      </x:c>
      <x:c r="E150" s="33" t="n">
        <x:v>-0.0001647383333333333</x:v>
      </x:c>
      <x:c r="F150" s="35" t="n">
        <x:v>1913</x:v>
      </x:c>
      <x:c r="G150" s="37"/>
      <x:c r="H150" s="27" t="str">
        <x:v>판매발생률·매출이 두 단독 방식보다 모두 높다는 조건을 충족하지 못함</x:v>
      </x:c>
    </x:row>
    <x:row r="151">
      <x:c r="A151" s="25" t="str">
        <x:v>GROCERY</x:v>
      </x:c>
      <x:c r="B151" s="26" t="str">
        <x:v>SYRUPS/TOPPINGS</x:v>
      </x:c>
      <x:c r="C151" s="26" t="str">
        <x:v>결합 근거 부족</x:v>
      </x:c>
      <x:c r="D151" s="31" t="n">
        <x:v>-0.00032967032967033097</x:v>
      </x:c>
      <x:c r="E151" s="33" t="n">
        <x:v>-0.0005505496153846151</x:v>
      </x:c>
      <x:c r="F151" s="35" t="n">
        <x:v>212</x:v>
      </x:c>
      <x:c r="G151" s="37"/>
      <x:c r="H151" s="27" t="str">
        <x:v>판매발생률·매출이 두 단독 방식보다 모두 높다는 조건을 충족하지 못함</x:v>
      </x:c>
    </x:row>
    <x:row r="152">
      <x:c r="A152" s="25" t="str">
        <x:v>DRUG GM</x:v>
      </x:c>
      <x:c r="B152" s="26" t="str">
        <x:v>ORAL HYGIENE PRODUCTS</x:v>
      </x:c>
      <x:c r="C152" s="26" t="str">
        <x:v>결합 근거 부족</x:v>
      </x:c>
      <x:c r="D152" s="31" t="n">
        <x:v>0.0002540453346883948</x:v>
      </x:c>
      <x:c r="E152" s="33" t="n">
        <x:v>-0.0005724891749999995</x:v>
      </x:c>
      <x:c r="F152" s="35" t="n">
        <x:v>7139</x:v>
      </x:c>
      <x:c r="G152" s="37"/>
      <x:c r="H152" s="27" t="str">
        <x:v>판매발생률·매출이 두 단독 방식보다 모두 높다는 조건을 충족하지 못함</x:v>
      </x:c>
    </x:row>
    <x:row r="153">
      <x:c r="A153" s="25" t="str">
        <x:v>GROCERY</x:v>
      </x:c>
      <x:c r="B153" s="26" t="str">
        <x:v>DISHWASH DETERGENTS</x:v>
      </x:c>
      <x:c r="C153" s="26" t="str">
        <x:v>결합 근거 부족</x:v>
      </x:c>
      <x:c r="D153" s="31" t="n">
        <x:v>-0.0019097222222222252</x:v>
      </x:c>
      <x:c r="E153" s="33" t="n">
        <x:v>-0.0010972225000000005</x:v>
      </x:c>
      <x:c r="F153" s="35" t="n">
        <x:v>287</x:v>
      </x:c>
      <x:c r="G153" s="37"/>
      <x:c r="H153" s="27" t="str">
        <x:v>판매발생률·매출이 두 단독 방식보다 모두 높다는 조건을 충족하지 못함</x:v>
      </x:c>
    </x:row>
    <x:row r="154">
      <x:c r="A154" s="25" t="str">
        <x:v>PRODUCE</x:v>
      </x:c>
      <x:c r="B154" s="26" t="str">
        <x:v>POPCORN</x:v>
      </x:c>
      <x:c r="C154" s="26" t="str">
        <x:v>결합 근거 부족</x:v>
      </x:c>
      <x:c r="D154" s="31" t="n">
        <x:v>-0.0020654806960809283</x:v>
      </x:c>
      <x:c r="E154" s="33" t="n">
        <x:v>-0.0013150821886792452</x:v>
      </x:c>
      <x:c r="F154" s="35" t="n">
        <x:v>1393</x:v>
      </x:c>
      <x:c r="G154" s="37"/>
      <x:c r="H154" s="27" t="str">
        <x:v>판매발생률·매출이 두 단독 방식보다 모두 높다는 조건을 충족하지 못함</x:v>
      </x:c>
    </x:row>
    <x:row r="155">
      <x:c r="A155" s="25" t="str">
        <x:v>DRUG GM</x:v>
      </x:c>
      <x:c r="B155" s="26" t="str">
        <x:v>SINUS AND ALLERGY</x:v>
      </x:c>
      <x:c r="C155" s="26" t="str">
        <x:v>결합 근거 부족</x:v>
      </x:c>
      <x:c r="D155" s="31" t="n">
        <x:v>-0.0005096136142455087</x:v>
      </x:c>
      <x:c r="E155" s="33" t="n">
        <x:v>-0.0019752951491228067</x:v>
      </x:c>
      <x:c r="F155" s="35" t="n">
        <x:v>406</x:v>
      </x:c>
      <x:c r="G155" s="37"/>
      <x:c r="H155" s="27" t="str">
        <x:v>판매발생률·매출이 두 단독 방식보다 모두 높다는 조건을 충족하지 못함</x:v>
      </x:c>
    </x:row>
    <x:row r="156">
      <x:c r="A156" s="25" t="str">
        <x:v>GROCERY</x:v>
      </x:c>
      <x:c r="B156" s="26" t="str">
        <x:v>FROZEN BREAD/DOUGH</x:v>
      </x:c>
      <x:c r="C156" s="26" t="str">
        <x:v>결합 근거 부족</x:v>
      </x:c>
      <x:c r="D156" s="31" t="n">
        <x:v>0.002609700937818404</x:v>
      </x:c>
      <x:c r="E156" s="33" t="n">
        <x:v>-0.0025118085714285715</x:v>
      </x:c>
      <x:c r="F156" s="35" t="n">
        <x:v>1064</x:v>
      </x:c>
      <x:c r="G156" s="37"/>
      <x:c r="H156" s="27" t="str">
        <x:v>판매발생률·매출이 두 단독 방식보다 모두 높다는 조건을 충족하지 못함</x:v>
      </x:c>
    </x:row>
    <x:row r="157">
      <x:c r="A157" s="25" t="str">
        <x:v>NUTRITION</x:v>
      </x:c>
      <x:c r="B157" s="26" t="str">
        <x:v>WATER</x:v>
      </x:c>
      <x:c r="C157" s="26" t="str">
        <x:v>결합 근거 부족</x:v>
      </x:c>
      <x:c r="D157" s="31" t="n">
        <x:v>-0.0019290212578720071</x:v>
      </x:c>
      <x:c r="E157" s="33" t="n">
        <x:v>-0.002547617741935484</x:v>
      </x:c>
      <x:c r="F157" s="35" t="n">
        <x:v>580</x:v>
      </x:c>
      <x:c r="G157" s="37"/>
      <x:c r="H157" s="27" t="str">
        <x:v>판매발생률·매출이 두 단독 방식보다 모두 높다는 조건을 충족하지 못함</x:v>
      </x:c>
    </x:row>
    <x:row r="158">
      <x:c r="A158" s="25" t="str">
        <x:v>SEAFOOD-PCKGD</x:v>
      </x:c>
      <x:c r="B158" s="26" t="str">
        <x:v>FROZEN - BOXED(GROCERY)</x:v>
      </x:c>
      <x:c r="C158" s="26" t="str">
        <x:v>결합 근거 부족</x:v>
      </x:c>
      <x:c r="D158" s="31" t="n">
        <x:v>0.0007001048976303942</x:v>
      </x:c>
      <x:c r="E158" s="33" t="n">
        <x:v>-0.002810856475363635</x:v>
      </x:c>
      <x:c r="F158" s="35" t="n">
        <x:v>1631</x:v>
      </x:c>
      <x:c r="G158" s="37"/>
      <x:c r="H158" s="27" t="str">
        <x:v>판매발생률·매출이 두 단독 방식보다 모두 높다는 조건을 충족하지 못함</x:v>
      </x:c>
    </x:row>
    <x:row r="159">
      <x:c r="A159" s="25" t="str">
        <x:v>NUTRITION</x:v>
      </x:c>
      <x:c r="B159" s="26" t="str">
        <x:v>CEREAL/BREAKFAST</x:v>
      </x:c>
      <x:c r="C159" s="26" t="str">
        <x:v>결합 근거 부족</x:v>
      </x:c>
      <x:c r="D159" s="31" t="n">
        <x:v>-0.0013849257443690928</x:v>
      </x:c>
      <x:c r="E159" s="33" t="n">
        <x:v>-0.004703270630630632</x:v>
      </x:c>
      <x:c r="F159" s="35" t="n">
        <x:v>155</x:v>
      </x:c>
      <x:c r="G159" s="37"/>
      <x:c r="H159" s="27" t="str">
        <x:v>판매발생률·매출이 두 단독 방식보다 모두 높다는 조건을 충족하지 못함</x:v>
      </x:c>
    </x:row>
    <x:row r="160">
      <x:c r="A160" s="25" t="str">
        <x:v>DRUG GM</x:v>
      </x:c>
      <x:c r="B160" s="26" t="str">
        <x:v>FILM AND CAMERA PRODUCTS</x:v>
      </x:c>
      <x:c r="C160" s="26" t="str">
        <x:v>결합 근거 부족</x:v>
      </x:c>
      <x:c r="D160" s="31" t="n">
        <x:v>-0.0006730685622364268</x:v>
      </x:c>
      <x:c r="E160" s="33" t="n">
        <x:v>-0.005315993891304349</x:v>
      </x:c>
      <x:c r="F160" s="35" t="n">
        <x:v>1444</x:v>
      </x:c>
      <x:c r="G160" s="37"/>
      <x:c r="H160" s="27" t="str">
        <x:v>판매발생률·매출이 두 단독 방식보다 모두 높다는 조건을 충족하지 못함</x:v>
      </x:c>
    </x:row>
    <x:row r="161">
      <x:c r="A161" s="25" t="str">
        <x:v>DRUG GM</x:v>
      </x:c>
      <x:c r="B161" s="26" t="str">
        <x:v>ADULT INCONTINENCE</x:v>
      </x:c>
      <x:c r="C161" s="26" t="str">
        <x:v>결합 근거 부족</x:v>
      </x:c>
      <x:c r="D161" s="31" t="n">
        <x:v>0</x:v>
      </x:c>
      <x:c r="E161" s="33" t="n">
        <x:v>-0.00555092625</x:v>
      </x:c>
      <x:c r="F161" s="35" t="n">
        <x:v>167</x:v>
      </x:c>
      <x:c r="G161" s="37"/>
      <x:c r="H161" s="27" t="str">
        <x:v>판매발생률·매출이 두 단독 방식보다 모두 높다는 조건을 충족하지 못함</x:v>
      </x:c>
    </x:row>
    <x:row r="162">
      <x:c r="A162" s="25" t="str">
        <x:v>DRUG GM</x:v>
      </x:c>
      <x:c r="B162" s="26" t="str">
        <x:v>DOMESTIC GOODS</x:v>
      </x:c>
      <x:c r="C162" s="26" t="str">
        <x:v>결합 근거 부족</x:v>
      </x:c>
      <x:c r="D162" s="31" t="n">
        <x:v>0.012170087976539594</x:v>
      </x:c>
      <x:c r="E162" s="33" t="n">
        <x:v>-0.005871943636363636</x:v>
      </x:c>
      <x:c r="F162" s="35" t="n">
        <x:v>100</x:v>
      </x:c>
      <x:c r="G162" s="37"/>
      <x:c r="H162" s="27" t="str">
        <x:v>판매발생률·매출이 두 단독 방식보다 모두 높다는 조건을 충족하지 못함</x:v>
      </x:c>
    </x:row>
    <x:row r="163">
      <x:c r="A163" s="25" t="str">
        <x:v>DRUG GM</x:v>
      </x:c>
      <x:c r="B163" s="26" t="str">
        <x:v>HAIR CARE PRODUCTS</x:v>
      </x:c>
      <x:c r="C163" s="26" t="str">
        <x:v>결합 근거 부족</x:v>
      </x:c>
      <x:c r="D163" s="31" t="n">
        <x:v>-0.00394979908871932</x:v>
      </x:c>
      <x:c r="E163" s="33" t="n">
        <x:v>-0.006076649251450382</x:v>
      </x:c>
      <x:c r="F163" s="35" t="n">
        <x:v>8122</x:v>
      </x:c>
      <x:c r="G163" s="37"/>
      <x:c r="H163" s="27" t="str">
        <x:v>판매발생률·매출이 두 단독 방식보다 모두 높다는 조건을 충족하지 못함</x:v>
      </x:c>
    </x:row>
    <x:row r="164">
      <x:c r="A164" s="25" t="str">
        <x:v>NUTRITION</x:v>
      </x:c>
      <x:c r="B164" s="26" t="str">
        <x:v>DRIED FRUIT</x:v>
      </x:c>
      <x:c r="C164" s="26" t="str">
        <x:v>결합 근거 부족</x:v>
      </x:c>
      <x:c r="D164" s="31" t="n">
        <x:v>-0.00174825174825175</x:v>
      </x:c>
      <x:c r="E164" s="33" t="n">
        <x:v>-0.006330613888888889</x:v>
      </x:c>
      <x:c r="F164" s="35" t="n">
        <x:v>270</x:v>
      </x:c>
      <x:c r="G164" s="37"/>
      <x:c r="H164" s="27" t="str">
        <x:v>판매발생률·매출이 두 단독 방식보다 모두 높다는 조건을 충족하지 못함</x:v>
      </x:c>
    </x:row>
    <x:row r="165">
      <x:c r="A165" s="25" t="str">
        <x:v>PRODUCE</x:v>
      </x:c>
      <x:c r="B165" s="26" t="str">
        <x:v>PROCESSED</x:v>
      </x:c>
      <x:c r="C165" s="26" t="str">
        <x:v>결합 근거 부족</x:v>
      </x:c>
      <x:c r="D165" s="31" t="n">
        <x:v>-0.002469135802469133</x:v>
      </x:c>
      <x:c r="E165" s="33" t="n">
        <x:v>-0.006469135333333333</x:v>
      </x:c>
      <x:c r="F165" s="35" t="n">
        <x:v>144</x:v>
      </x:c>
      <x:c r="G165" s="37"/>
      <x:c r="H165" s="27" t="str">
        <x:v>판매발생률·매출이 두 단독 방식보다 모두 높다는 조건을 충족하지 못함</x:v>
      </x:c>
    </x:row>
    <x:row r="166">
      <x:c r="A166" s="25" t="str">
        <x:v>NUTRITION</x:v>
      </x:c>
      <x:c r="B166" s="26" t="str">
        <x:v>CHIPS&amp;SNACKS</x:v>
      </x:c>
      <x:c r="C166" s="26" t="str">
        <x:v>결합 근거 부족</x:v>
      </x:c>
      <x:c r="D166" s="31" t="n">
        <x:v>-0.0002929588527414602</x:v>
      </x:c>
      <x:c r="E166" s="33" t="n">
        <x:v>-0.007377429150000001</x:v>
      </x:c>
      <x:c r="F166" s="35" t="n">
        <x:v>691</x:v>
      </x:c>
      <x:c r="G166" s="37"/>
      <x:c r="H166" s="27" t="str">
        <x:v>판매발생률·매출이 두 단독 방식보다 모두 높다는 조건을 충족하지 못함</x:v>
      </x:c>
    </x:row>
    <x:row r="167">
      <x:c r="A167" s="25" t="str">
        <x:v>NUTRITION</x:v>
      </x:c>
      <x:c r="B167" s="26" t="str">
        <x:v>SNKS/CKYS/CRKR/CNDY</x:v>
      </x:c>
      <x:c r="C167" s="26" t="str">
        <x:v>결합 근거 부족</x:v>
      </x:c>
      <x:c r="D167" s="31" t="n">
        <x:v>-0.0022977555072665723</x:v>
      </x:c>
      <x:c r="E167" s="33" t="n">
        <x:v>-0.00782270875942029</x:v>
      </x:c>
      <x:c r="F167" s="35" t="n">
        <x:v>224</x:v>
      </x:c>
      <x:c r="G167" s="37"/>
      <x:c r="H167" s="27" t="str">
        <x:v>판매발생률·매출이 두 단독 방식보다 모두 높다는 조건을 충족하지 못함</x:v>
      </x:c>
    </x:row>
    <x:row r="168">
      <x:c r="A168" s="25" t="str">
        <x:v>DRUG GM</x:v>
      </x:c>
      <x:c r="B168" s="26" t="str">
        <x:v>AUTOMOTIVE PRODUCTS</x:v>
      </x:c>
      <x:c r="C168" s="26" t="str">
        <x:v>결합 근거 부족</x:v>
      </x:c>
      <x:c r="D168" s="31" t="n">
        <x:v>0</x:v>
      </x:c>
      <x:c r="E168" s="33" t="n">
        <x:v>-0.009718309333333333</x:v>
      </x:c>
      <x:c r="F168" s="35" t="n">
        <x:v>64</x:v>
      </x:c>
      <x:c r="G168" s="37"/>
      <x:c r="H168" s="27" t="str">
        <x:v>판매발생률·매출이 두 단독 방식보다 모두 높다는 조건을 충족하지 못함</x:v>
      </x:c>
    </x:row>
    <x:row r="169">
      <x:c r="A169" s="25" t="str">
        <x:v>DRUG GM</x:v>
      </x:c>
      <x:c r="B169" s="26" t="str">
        <x:v>CANDLES/ACCESSORIES</x:v>
      </x:c>
      <x:c r="C169" s="26" t="str">
        <x:v>결합 근거 부족</x:v>
      </x:c>
      <x:c r="D169" s="31" t="n">
        <x:v>0.0014387961392982851</x:v>
      </x:c>
      <x:c r="E169" s="33" t="n">
        <x:v>-0.009785570830000003</x:v>
      </x:c>
      <x:c r="F169" s="35" t="n">
        <x:v>693</x:v>
      </x:c>
      <x:c r="G169" s="37"/>
      <x:c r="H169" s="27" t="str">
        <x:v>판매발생률·매출이 두 단독 방식보다 모두 높다는 조건을 충족하지 못함</x:v>
      </x:c>
    </x:row>
    <x:row r="170">
      <x:c r="A170" s="25" t="str">
        <x:v>NUTRITION</x:v>
      </x:c>
      <x:c r="B170" s="26" t="str">
        <x:v>REFRIGERATED</x:v>
      </x:c>
      <x:c r="C170" s="26" t="str">
        <x:v>결합 근거 부족</x:v>
      </x:c>
      <x:c r="D170" s="31" t="n">
        <x:v>0</x:v>
      </x:c>
      <x:c r="E170" s="33" t="n">
        <x:v>-0.010800779432203393</x:v>
      </x:c>
      <x:c r="F170" s="35" t="n">
        <x:v>60</x:v>
      </x:c>
      <x:c r="G170" s="37"/>
      <x:c r="H170" s="27" t="str">
        <x:v>판매발생률·매출이 두 단독 방식보다 모두 높다는 조건을 충족하지 못함</x:v>
      </x:c>
    </x:row>
    <x:row r="171">
      <x:c r="A171" s="25" t="str">
        <x:v>GROCERY</x:v>
      </x:c>
      <x:c r="B171" s="26" t="str">
        <x:v>PAPER HOUSEWARES</x:v>
      </x:c>
      <x:c r="C171" s="26" t="str">
        <x:v>결합 근거 부족</x:v>
      </x:c>
      <x:c r="D171" s="31" t="n">
        <x:v>-0.004942374026818245</x:v>
      </x:c>
      <x:c r="E171" s="33" t="n">
        <x:v>-0.011045529847058823</x:v>
      </x:c>
      <x:c r="F171" s="35" t="n">
        <x:v>731</x:v>
      </x:c>
      <x:c r="G171" s="37"/>
      <x:c r="H171" s="27" t="str">
        <x:v>판매발생률·매출이 두 단독 방식보다 모두 높다는 조건을 충족하지 못함</x:v>
      </x:c>
    </x:row>
    <x:row r="172">
      <x:c r="A172" s="25" t="str">
        <x:v>GROCERY</x:v>
      </x:c>
      <x:c r="B172" s="26" t="str">
        <x:v>MISC. DAIRY</x:v>
      </x:c>
      <x:c r="C172" s="26" t="str">
        <x:v>결합 근거 부족</x:v>
      </x:c>
      <x:c r="D172" s="31" t="n">
        <x:v>-0.007148407148407148</x:v>
      </x:c>
      <x:c r="E172" s="33" t="n">
        <x:v>-0.01173271169230769</x:v>
      </x:c>
      <x:c r="F172" s="35" t="n">
        <x:v>198</x:v>
      </x:c>
      <x:c r="G172" s="37"/>
      <x:c r="H172" s="27" t="str">
        <x:v>판매발생률·매출이 두 단독 방식보다 모두 높다는 조건을 충족하지 못함</x:v>
      </x:c>
    </x:row>
    <x:row r="173">
      <x:c r="A173" s="25" t="str">
        <x:v>GROCERY</x:v>
      </x:c>
      <x:c r="B173" s="26" t="str">
        <x:v>FACIAL TISS/DNR NAPKIN</x:v>
      </x:c>
      <x:c r="C173" s="26" t="str">
        <x:v>결합 근거 부족</x:v>
      </x:c>
      <x:c r="D173" s="31" t="n">
        <x:v>-0.005493875086266389</x:v>
      </x:c>
      <x:c r="E173" s="33" t="n">
        <x:v>-0.01248479989130435</x:v>
      </x:c>
      <x:c r="F173" s="35" t="n">
        <x:v>531</x:v>
      </x:c>
      <x:c r="G173" s="37"/>
      <x:c r="H173" s="27" t="str">
        <x:v>판매발생률·매출이 두 단독 방식보다 모두 높다는 조건을 충족하지 못함</x:v>
      </x:c>
    </x:row>
    <x:row r="174">
      <x:c r="A174" s="25" t="str">
        <x:v>GROCERY</x:v>
      </x:c>
      <x:c r="B174" s="26" t="str">
        <x:v>DRY SAUCES/GRAVY</x:v>
      </x:c>
      <x:c r="C174" s="26" t="str">
        <x:v>결합 근거 부족</x:v>
      </x:c>
      <x:c r="D174" s="31" t="n">
        <x:v>-0.00440784448385592</x:v>
      </x:c>
      <x:c r="E174" s="33" t="n">
        <x:v>-0.014388915666666667</x:v>
      </x:c>
      <x:c r="F174" s="35" t="n">
        <x:v>1225</x:v>
      </x:c>
      <x:c r="G174" s="37"/>
      <x:c r="H174" s="27" t="str">
        <x:v>판매발생률·매출이 두 단독 방식보다 모두 높다는 조건을 충족하지 못함</x:v>
      </x:c>
    </x:row>
    <x:row r="175">
      <x:c r="A175" s="25" t="str">
        <x:v>GROCERY</x:v>
      </x:c>
      <x:c r="B175" s="26" t="str">
        <x:v>FRZN JCE CONC/DRNKS</x:v>
      </x:c>
      <x:c r="C175" s="26" t="str">
        <x:v>결합 근거 부족</x:v>
      </x:c>
      <x:c r="D175" s="31" t="n">
        <x:v>-0.007612179487179485</x:v>
      </x:c>
      <x:c r="E175" s="33" t="n">
        <x:v>-0.014397893809523811</x:v>
      </x:c>
      <x:c r="F175" s="35" t="n">
        <x:v>85</x:v>
      </x:c>
      <x:c r="G175" s="37"/>
      <x:c r="H175" s="27" t="str">
        <x:v>판매발생률·매출이 두 단독 방식보다 모두 높다는 조건을 충족하지 못함</x:v>
      </x:c>
    </x:row>
    <x:row r="176">
      <x:c r="A176" s="25" t="str">
        <x:v>PASTRY</x:v>
      </x:c>
      <x:c r="B176" s="26" t="str">
        <x:v>BREAD</x:v>
      </x:c>
      <x:c r="C176" s="26" t="str">
        <x:v>결합 근거 부족</x:v>
      </x:c>
      <x:c r="D176" s="31" t="n">
        <x:v>-0.014069264069264066</x:v>
      </x:c>
      <x:c r="E176" s="33" t="n">
        <x:v>-0.0144324925</x:v>
      </x:c>
      <x:c r="F176" s="35" t="n">
        <x:v>153</x:v>
      </x:c>
      <x:c r="G176" s="37"/>
      <x:c r="H176" s="27" t="str">
        <x:v>판매발생률·매출이 두 단독 방식보다 모두 높다는 조건을 충족하지 못함</x:v>
      </x:c>
    </x:row>
    <x:row r="177">
      <x:c r="A177" s="25" t="str">
        <x:v>DRUG GM</x:v>
      </x:c>
      <x:c r="B177" s="26" t="str">
        <x:v>COOKWARE &amp; BAKEWARE</x:v>
      </x:c>
      <x:c r="C177" s="26" t="str">
        <x:v>결합 근거 부족</x:v>
      </x:c>
      <x:c r="D177" s="31" t="n">
        <x:v>-0.0034340659340659323</x:v>
      </x:c>
      <x:c r="E177" s="33" t="n">
        <x:v>-0.014739011071428571</x:v>
      </x:c>
      <x:c r="F177" s="35" t="n">
        <x:v>10</x:v>
      </x:c>
      <x:c r="G177" s="37"/>
      <x:c r="H177" s="27" t="str">
        <x:v>판매발생률·매출이 두 단독 방식보다 모두 높다는 조건을 충족하지 못함</x:v>
      </x:c>
    </x:row>
    <x:row r="178">
      <x:c r="A178" s="25" t="str">
        <x:v>NUTRITION</x:v>
      </x:c>
      <x:c r="B178" s="26" t="str">
        <x:v>FITNESS&amp;DIET</x:v>
      </x:c>
      <x:c r="C178" s="26" t="str">
        <x:v>결합 근거 부족</x:v>
      </x:c>
      <x:c r="D178" s="31" t="n">
        <x:v>-0.0016992505702183066</x:v>
      </x:c>
      <x:c r="E178" s="33" t="n">
        <x:v>-0.014886367292972975</x:v>
      </x:c>
      <x:c r="F178" s="35" t="n">
        <x:v>583</x:v>
      </x:c>
      <x:c r="G178" s="37"/>
      <x:c r="H178" s="27" t="str">
        <x:v>판매발생률·매출이 두 단독 방식보다 모두 높다는 조건을 충족하지 못함</x:v>
      </x:c>
    </x:row>
    <x:row r="179">
      <x:c r="A179" s="25" t="str">
        <x:v>GROCERY</x:v>
      </x:c>
      <x:c r="B179" s="26" t="str">
        <x:v>DOMESTIC WINE</x:v>
      </x:c>
      <x:c r="C179" s="26" t="str">
        <x:v>결합 근거 부족</x:v>
      </x:c>
      <x:c r="D179" s="31" t="n">
        <x:v>-0.0018759356501300121</x:v>
      </x:c>
      <x:c r="E179" s="33" t="n">
        <x:v>-0.015066751910112358</x:v>
      </x:c>
      <x:c r="F179" s="35" t="n">
        <x:v>26</x:v>
      </x:c>
      <x:c r="G179" s="37"/>
      <x:c r="H179" s="27" t="str">
        <x:v>판매발생률·매출이 두 단독 방식보다 모두 높다는 조건을 충족하지 못함</x:v>
      </x:c>
    </x:row>
    <x:row r="180">
      <x:c r="A180" s="25" t="str">
        <x:v>GROCERY</x:v>
      </x:c>
      <x:c r="B180" s="26" t="str">
        <x:v>PNT BTR/JELLY/JAMS</x:v>
      </x:c>
      <x:c r="C180" s="26" t="str">
        <x:v>결합 근거 부족</x:v>
      </x:c>
      <x:c r="D180" s="31" t="n">
        <x:v>-0.005189614182710574</x:v>
      </x:c>
      <x:c r="E180" s="33" t="n">
        <x:v>-0.016161929250000002</x:v>
      </x:c>
      <x:c r="F180" s="35" t="n">
        <x:v>2064</x:v>
      </x:c>
      <x:c r="G180" s="37"/>
      <x:c r="H180" s="27" t="str">
        <x:v>판매발생률·매출이 두 단독 방식보다 모두 높다는 조건을 충족하지 못함</x:v>
      </x:c>
    </x:row>
    <x:row r="181">
      <x:c r="A181" s="25" t="str">
        <x:v>PASTRY</x:v>
      </x:c>
      <x:c r="B181" s="26" t="str">
        <x:v>COOKIES</x:v>
      </x:c>
      <x:c r="C181" s="26" t="str">
        <x:v>결합 근거 부족</x:v>
      </x:c>
      <x:c r="D181" s="31" t="n">
        <x:v>-0.004766182008908112</x:v>
      </x:c>
      <x:c r="E181" s="33" t="n">
        <x:v>-0.020893226030612246</x:v>
      </x:c>
      <x:c r="F181" s="35" t="n">
        <x:v>1143</x:v>
      </x:c>
      <x:c r="G181" s="37"/>
      <x:c r="H181" s="27" t="str">
        <x:v>판매발생률·매출이 두 단독 방식보다 모두 높다는 조건을 충족하지 못함</x:v>
      </x:c>
    </x:row>
    <x:row r="182">
      <x:c r="A182" s="25" t="str">
        <x:v>GROCERY</x:v>
      </x:c>
      <x:c r="B182" s="26" t="str">
        <x:v>DOG FOODS</x:v>
      </x:c>
      <x:c r="C182" s="26" t="str">
        <x:v>결합 근거 부족</x:v>
      </x:c>
      <x:c r="D182" s="31" t="n">
        <x:v>-0.010373757787550892</x:v>
      </x:c>
      <x:c r="E182" s="33" t="n">
        <x:v>-0.021592587272727275</x:v>
      </x:c>
      <x:c r="F182" s="35" t="n">
        <x:v>868</x:v>
      </x:c>
      <x:c r="G182" s="37"/>
      <x:c r="H182" s="27" t="str">
        <x:v>판매발생률·매출이 두 단독 방식보다 모두 높다는 조건을 충족하지 못함</x:v>
      </x:c>
    </x:row>
    <x:row r="183">
      <x:c r="A183" s="25" t="str">
        <x:v>GROCERY</x:v>
      </x:c>
      <x:c r="B183" s="26" t="str">
        <x:v>BEERS/ALES</x:v>
      </x:c>
      <x:c r="C183" s="26" t="str">
        <x:v>결합 근거 부족</x:v>
      </x:c>
      <x:c r="D183" s="31" t="n">
        <x:v>-0.002169729675072173</x:v>
      </x:c>
      <x:c r="E183" s="33" t="n">
        <x:v>-0.022430265086206894</x:v>
      </x:c>
      <x:c r="F183" s="35" t="n">
        <x:v>5589</x:v>
      </x:c>
      <x:c r="G183" s="37"/>
      <x:c r="H183" s="27" t="str">
        <x:v>판매발생률·매출이 두 단독 방식보다 모두 높다는 조건을 충족하지 못함</x:v>
      </x:c>
    </x:row>
    <x:row r="184">
      <x:c r="A184" s="25" t="str">
        <x:v>PRODUCE</x:v>
      </x:c>
      <x:c r="B184" s="26" t="str">
        <x:v>BROCCOLI/CAULIFLOWER</x:v>
      </x:c>
      <x:c r="C184" s="26" t="str">
        <x:v>결합 근거 부족</x:v>
      </x:c>
      <x:c r="D184" s="31" t="n">
        <x:v>-0.005009276437847871</x:v>
      </x:c>
      <x:c r="E184" s="33" t="n">
        <x:v>-0.02257895165625</x:v>
      </x:c>
      <x:c r="F184" s="35" t="n">
        <x:v>141</x:v>
      </x:c>
      <x:c r="G184" s="37"/>
      <x:c r="H184" s="27" t="str">
        <x:v>판매발생률·매출이 두 단독 방식보다 모두 높다는 조건을 충족하지 못함</x:v>
      </x:c>
    </x:row>
    <x:row r="185">
      <x:c r="A185" s="25" t="str">
        <x:v>NUTRITION</x:v>
      </x:c>
      <x:c r="B185" s="26" t="str">
        <x:v>RICE CAKES</x:v>
      </x:c>
      <x:c r="C185" s="26" t="str">
        <x:v>결합 근거 부족</x:v>
      </x:c>
      <x:c r="D185" s="31" t="n">
        <x:v>0.0076478363533699556</x:v>
      </x:c>
      <x:c r="E185" s="33" t="n">
        <x:v>-0.024655005663636365</x:v>
      </x:c>
      <x:c r="F185" s="35" t="n">
        <x:v>87</x:v>
      </x:c>
      <x:c r="G185" s="37"/>
      <x:c r="H185" s="27" t="str">
        <x:v>판매발생률·매출이 두 단독 방식보다 모두 높다는 조건을 충족하지 못함</x:v>
      </x:c>
    </x:row>
    <x:row r="186">
      <x:c r="A186" s="25" t="str">
        <x:v>FLORAL</x:v>
      </x:c>
      <x:c r="B186" s="26" t="str">
        <x:v>FLORAL-FLOWERING PLANTS</x:v>
      </x:c>
      <x:c r="C186" s="26" t="str">
        <x:v>결합 근거 부족</x:v>
      </x:c>
      <x:c r="D186" s="31" t="n">
        <x:v>-0.004545454545454546</x:v>
      </x:c>
      <x:c r="E186" s="33" t="n">
        <x:v>-0.027227272727272725</x:v>
      </x:c>
      <x:c r="F186" s="35" t="n">
        <x:v>63</x:v>
      </x:c>
      <x:c r="G186" s="37"/>
      <x:c r="H186" s="27" t="str">
        <x:v>판매발생률·매출이 두 단독 방식보다 모두 높다는 조건을 충족하지 못함</x:v>
      </x:c>
    </x:row>
    <x:row r="187">
      <x:c r="A187" s="25" t="str">
        <x:v>SEAFOOD-PCKGD</x:v>
      </x:c>
      <x:c r="B187" s="26" t="str">
        <x:v>SEAFOOD-FRESH</x:v>
      </x:c>
      <x:c r="C187" s="26" t="str">
        <x:v>결합 근거 부족</x:v>
      </x:c>
      <x:c r="D187" s="31" t="n">
        <x:v>-0.010754281949934122</x:v>
      </x:c>
      <x:c r="E187" s="33" t="n">
        <x:v>-0.028678360347826087</x:v>
      </x:c>
      <x:c r="F187" s="35" t="n">
        <x:v>137</x:v>
      </x:c>
      <x:c r="G187" s="37"/>
      <x:c r="H187" s="27" t="str">
        <x:v>판매발생률·매출이 두 단독 방식보다 모두 높다는 조건을 충족하지 못함</x:v>
      </x:c>
    </x:row>
    <x:row r="188">
      <x:c r="A188" s="25" t="str">
        <x:v>GROCERY</x:v>
      </x:c>
      <x:c r="B188" s="26" t="str">
        <x:v>PICKLE/RELISH/PKLD VEG</x:v>
      </x:c>
      <x:c r="C188" s="26" t="str">
        <x:v>결합 근거 부족</x:v>
      </x:c>
      <x:c r="D188" s="31" t="n">
        <x:v>-0.010385005065856129</x:v>
      </x:c>
      <x:c r="E188" s="33" t="n">
        <x:v>-0.02924518680851064</x:v>
      </x:c>
      <x:c r="F188" s="35" t="n">
        <x:v>207</x:v>
      </x:c>
      <x:c r="G188" s="37"/>
      <x:c r="H188" s="27" t="str">
        <x:v>판매발생률·매출이 두 단독 방식보다 모두 높다는 조건을 충족하지 못함</x:v>
      </x:c>
    </x:row>
    <x:row r="189">
      <x:c r="A189" s="25" t="str">
        <x:v>DRUG GM</x:v>
      </x:c>
      <x:c r="B189" s="26" t="str">
        <x:v>CHARCOAL AND LIGHTER FLUID</x:v>
      </x:c>
      <x:c r="C189" s="26" t="str">
        <x:v>결합 근거 부족</x:v>
      </x:c>
      <x:c r="D189" s="31" t="n">
        <x:v>-0.0031811831958890803</x:v>
      </x:c>
      <x:c r="E189" s="33" t="n">
        <x:v>-0.0305877488</x:v>
      </x:c>
      <x:c r="F189" s="35" t="n">
        <x:v>1268</x:v>
      </x:c>
      <x:c r="G189" s="37"/>
      <x:c r="H189" s="27" t="str">
        <x:v>판매발생률·매출이 두 단독 방식보다 모두 높다는 조건을 충족하지 못함</x:v>
      </x:c>
    </x:row>
    <x:row r="190">
      <x:c r="A190" s="25" t="str">
        <x:v>DELI</x:v>
      </x:c>
      <x:c r="B190" s="26" t="str">
        <x:v>SNACKS</x:v>
      </x:c>
      <x:c r="C190" s="26" t="str">
        <x:v>결합 근거 부족</x:v>
      </x:c>
      <x:c r="D190" s="31" t="n">
        <x:v>-0.009259259259259233</x:v>
      </x:c>
      <x:c r="E190" s="33" t="n">
        <x:v>-0.032407408</x:v>
      </x:c>
      <x:c r="F190" s="35" t="n">
        <x:v>17</x:v>
      </x:c>
      <x:c r="G190" s="37"/>
      <x:c r="H190" s="27" t="str">
        <x:v>판매발생률·매출이 두 단독 방식보다 모두 높다는 조건을 충족하지 못함</x:v>
      </x:c>
    </x:row>
    <x:row r="191">
      <x:c r="A191" s="25" t="str">
        <x:v>NUTRITION</x:v>
      </x:c>
      <x:c r="B191" s="26" t="str">
        <x:v>JUICE</x:v>
      </x:c>
      <x:c r="C191" s="26" t="str">
        <x:v>결합 근거 부족</x:v>
      </x:c>
      <x:c r="D191" s="31" t="n">
        <x:v>-0.00150967715084286</x:v>
      </x:c>
      <x:c r="E191" s="33" t="n">
        <x:v>-0.034573539199999996</x:v>
      </x:c>
      <x:c r="F191" s="35" t="n">
        <x:v>405</x:v>
      </x:c>
      <x:c r="G191" s="37"/>
      <x:c r="H191" s="27" t="str">
        <x:v>판매발생률·매출이 두 단독 방식보다 모두 높다는 조건을 충족하지 못함</x:v>
      </x:c>
    </x:row>
    <x:row r="192">
      <x:c r="A192" s="25" t="str">
        <x:v>DRUG GM</x:v>
      </x:c>
      <x:c r="B192" s="26" t="str">
        <x:v>TOYS AND GAMES</x:v>
      </x:c>
      <x:c r="C192" s="26" t="str">
        <x:v>결합 근거 부족</x:v>
      </x:c>
      <x:c r="D192" s="31" t="n">
        <x:v>-0.015134418324291741</x:v>
      </x:c>
      <x:c r="E192" s="33" t="n">
        <x:v>-0.0366020508</x:v>
      </x:c>
      <x:c r="F192" s="35" t="n">
        <x:v>516</x:v>
      </x:c>
      <x:c r="G192" s="37"/>
      <x:c r="H192" s="27" t="str">
        <x:v>판매발생률·매출이 두 단독 방식보다 모두 높다는 조건을 충족하지 못함</x:v>
      </x:c>
    </x:row>
    <x:row r="193">
      <x:c r="A193" s="25" t="str">
        <x:v>NUTRITION</x:v>
      </x:c>
      <x:c r="B193" s="26" t="str">
        <x:v>CONDIMENTS</x:v>
      </x:c>
      <x:c r="C193" s="26" t="str">
        <x:v>결합 근거 부족</x:v>
      </x:c>
      <x:c r="D193" s="31" t="n">
        <x:v>-0.019132653061224487</x:v>
      </x:c>
      <x:c r="E193" s="33" t="n">
        <x:v>-0.03826530714285714</x:v>
      </x:c>
      <x:c r="F193" s="35" t="n">
        <x:v>88</x:v>
      </x:c>
      <x:c r="G193" s="37"/>
      <x:c r="H193" s="27" t="str">
        <x:v>판매발생률·매출이 두 단독 방식보다 모두 높다는 조건을 충족하지 못함</x:v>
      </x:c>
    </x:row>
    <x:row r="194">
      <x:c r="A194" s="25" t="str">
        <x:v>DRUG GM</x:v>
      </x:c>
      <x:c r="B194" s="26" t="str">
        <x:v>FIREWORKS</x:v>
      </x:c>
      <x:c r="C194" s="26" t="str">
        <x:v>결합 근거 부족</x:v>
      </x:c>
      <x:c r="D194" s="31" t="n">
        <x:v>0.0028306159420289877</x:v>
      </x:c>
      <x:c r="E194" s="33" t="n">
        <x:v>-0.038606207499999996</x:v>
      </x:c>
      <x:c r="F194" s="35" t="n">
        <x:v>215</x:v>
      </x:c>
      <x:c r="G194" s="37"/>
      <x:c r="H194" s="27" t="str">
        <x:v>판매발생률·매출이 두 단독 방식보다 모두 높다는 조건을 충족하지 못함</x:v>
      </x:c>
    </x:row>
    <x:row r="195">
      <x:c r="A195" s="25" t="str">
        <x:v>GROCERY</x:v>
      </x:c>
      <x:c r="B195" s="26" t="str">
        <x:v>FRUIT - SHELF STABLE</x:v>
      </x:c>
      <x:c r="C195" s="26" t="str">
        <x:v>결합 근거 부족</x:v>
      </x:c>
      <x:c r="D195" s="31" t="n">
        <x:v>-0.013063014044283448</x:v>
      </x:c>
      <x:c r="E195" s="33" t="n">
        <x:v>-0.03940383152469136</x:v>
      </x:c>
      <x:c r="F195" s="35" t="n">
        <x:v>4798</x:v>
      </x:c>
      <x:c r="G195" s="37"/>
      <x:c r="H195" s="27" t="str">
        <x:v>판매발생률·매출이 두 단독 방식보다 모두 높다는 조건을 충족하지 못함</x:v>
      </x:c>
    </x:row>
    <x:row r="196">
      <x:c r="A196" s="25" t="str">
        <x:v>GROCERY</x:v>
      </x:c>
      <x:c r="B196" s="26" t="str">
        <x:v>CANNED MILK</x:v>
      </x:c>
      <x:c r="C196" s="26" t="str">
        <x:v>결합 근거 부족</x:v>
      </x:c>
      <x:c r="D196" s="31" t="n">
        <x:v>0</x:v>
      </x:c>
      <x:c r="E196" s="33" t="n">
        <x:v>-0.039880952</x:v>
      </x:c>
      <x:c r="F196" s="35" t="n">
        <x:v>44</x:v>
      </x:c>
      <x:c r="G196" s="37"/>
      <x:c r="H196" s="27" t="str">
        <x:v>판매발생률·매출이 두 단독 방식보다 모두 높다는 조건을 충족하지 못함</x:v>
      </x:c>
    </x:row>
    <x:row r="197">
      <x:c r="A197" s="25" t="str">
        <x:v>PRODUCE</x:v>
      </x:c>
      <x:c r="B197" s="26" t="str">
        <x:v>ONIONS</x:v>
      </x:c>
      <x:c r="C197" s="26" t="str">
        <x:v>결합 근거 부족</x:v>
      </x:c>
      <x:c r="D197" s="31" t="n">
        <x:v>-0.03571428571428571</x:v>
      </x:c>
      <x:c r="E197" s="33" t="n">
        <x:v>-0.04160000133333333</x:v>
      </x:c>
      <x:c r="F197" s="35" t="n">
        <x:v>21</x:v>
      </x:c>
      <x:c r="G197" s="37"/>
      <x:c r="H197" s="27" t="str">
        <x:v>판매발생률·매출이 두 단독 방식보다 모두 높다는 조건을 충족하지 못함</x:v>
      </x:c>
    </x:row>
    <x:row r="198">
      <x:c r="A198" s="25" t="str">
        <x:v>PRODUCE</x:v>
      </x:c>
      <x:c r="B198" s="26" t="str">
        <x:v>MELONS</x:v>
      </x:c>
      <x:c r="C198" s="26" t="str">
        <x:v>결합 근거 부족</x:v>
      </x:c>
      <x:c r="D198" s="31" t="n">
        <x:v>0</x:v>
      </x:c>
      <x:c r="E198" s="33" t="n">
        <x:v>-0.043958326666666665</x:v>
      </x:c>
      <x:c r="F198" s="35" t="n">
        <x:v>45</x:v>
      </x:c>
      <x:c r="G198" s="37"/>
      <x:c r="H198" s="27" t="str">
        <x:v>판매발생률·매출이 두 단독 방식보다 모두 높다는 조건을 충족하지 못함</x:v>
      </x:c>
    </x:row>
    <x:row r="199">
      <x:c r="A199" s="25" t="str">
        <x:v>PRODUCE</x:v>
      </x:c>
      <x:c r="B199" s="26" t="str">
        <x:v>MUSHROOMS</x:v>
      </x:c>
      <x:c r="C199" s="26" t="str">
        <x:v>결합 근거 부족</x:v>
      </x:c>
      <x:c r="D199" s="31" t="n">
        <x:v>-0.01875</x:v>
      </x:c>
      <x:c r="E199" s="33" t="n">
        <x:v>-0.044750000299999995</x:v>
      </x:c>
      <x:c r="F199" s="35" t="n">
        <x:v>7</x:v>
      </x:c>
      <x:c r="G199" s="37"/>
      <x:c r="H199" s="27" t="str">
        <x:v>판매발생률·매출이 두 단독 방식보다 모두 높다는 조건을 충족하지 못함</x:v>
      </x:c>
    </x:row>
    <x:row r="200">
      <x:c r="A200" s="25" t="str">
        <x:v>GROCERY</x:v>
      </x:c>
      <x:c r="B200" s="26" t="str">
        <x:v>FLOUR &amp; MEALS</x:v>
      </x:c>
      <x:c r="C200" s="26" t="str">
        <x:v>결합 근거 부족</x:v>
      </x:c>
      <x:c r="D200" s="31" t="n">
        <x:v>-0.027586206896551717</x:v>
      </x:c>
      <x:c r="E200" s="33" t="n">
        <x:v>-0.049241382</x:v>
      </x:c>
      <x:c r="F200" s="35" t="n">
        <x:v>145</x:v>
      </x:c>
      <x:c r="G200" s="37"/>
      <x:c r="H200" s="27" t="str">
        <x:v>판매발생률·매출이 두 단독 방식보다 모두 높다는 조건을 충족하지 못함</x:v>
      </x:c>
    </x:row>
    <x:row r="201">
      <x:c r="A201" s="25" t="str">
        <x:v>PRODUCE</x:v>
      </x:c>
      <x:c r="B201" s="26" t="str">
        <x:v>APPLES</x:v>
      </x:c>
      <x:c r="C201" s="26" t="str">
        <x:v>결합 근거 부족</x:v>
      </x:c>
      <x:c r="D201" s="31" t="n">
        <x:v>-0.01666666666666666</x:v>
      </x:c>
      <x:c r="E201" s="33" t="n">
        <x:v>-0.049833333</x:v>
      </x:c>
      <x:c r="F201" s="35" t="n">
        <x:v>19</x:v>
      </x:c>
      <x:c r="G201" s="37"/>
      <x:c r="H201" s="27" t="str">
        <x:v>판매발생률·매출이 두 단독 방식보다 모두 높다는 조건을 충족하지 못함</x:v>
      </x:c>
    </x:row>
    <x:row r="202">
      <x:c r="A202" s="25" t="str">
        <x:v>GROCERY</x:v>
      </x:c>
      <x:c r="B202" s="26" t="str">
        <x:v>SHORTENING/OIL</x:v>
      </x:c>
      <x:c r="C202" s="26" t="str">
        <x:v>결합 근거 부족</x:v>
      </x:c>
      <x:c r="D202" s="31" t="n">
        <x:v>-0.009465513152149099</x:v>
      </x:c>
      <x:c r="E202" s="33" t="n">
        <x:v>-0.05004060730952381</x:v>
      </x:c>
      <x:c r="F202" s="35" t="n">
        <x:v>1521</x:v>
      </x:c>
      <x:c r="G202" s="37"/>
      <x:c r="H202" s="27" t="str">
        <x:v>판매발생률·매출이 두 단독 방식보다 모두 높다는 조건을 충족하지 못함</x:v>
      </x:c>
    </x:row>
    <x:row r="203">
      <x:c r="A203" s="25" t="str">
        <x:v>DRUG GM</x:v>
      </x:c>
      <x:c r="B203" s="26" t="str">
        <x:v>EASTER</x:v>
      </x:c>
      <x:c r="C203" s="26" t="str">
        <x:v>결합 근거 부족</x:v>
      </x:c>
      <x:c r="D203" s="31" t="n">
        <x:v>-0.031714285714285716</x:v>
      </x:c>
      <x:c r="E203" s="33" t="n">
        <x:v>-0.0560571428</x:v>
      </x:c>
      <x:c r="F203" s="35" t="n">
        <x:v>223</x:v>
      </x:c>
      <x:c r="G203" s="37"/>
      <x:c r="H203" s="27" t="str">
        <x:v>판매발생률·매출이 두 단독 방식보다 모두 높다는 조건을 충족하지 못함</x:v>
      </x:c>
    </x:row>
    <x:row r="204">
      <x:c r="A204" s="25" t="str">
        <x:v>PRODUCE</x:v>
      </x:c>
      <x:c r="B204" s="26" t="str">
        <x:v>POTATOES</x:v>
      </x:c>
      <x:c r="C204" s="26" t="str">
        <x:v>결합 근거 부족</x:v>
      </x:c>
      <x:c r="D204" s="31" t="n">
        <x:v>-0.014705882352941176</x:v>
      </x:c>
      <x:c r="E204" s="33" t="n">
        <x:v>-0.0715196</x:v>
      </x:c>
      <x:c r="F204" s="35" t="n">
        <x:v>46</x:v>
      </x:c>
      <x:c r="G204" s="37"/>
      <x:c r="H204" s="27" t="str">
        <x:v>판매발생률·매출이 두 단독 방식보다 모두 높다는 조건을 충족하지 못함</x:v>
      </x:c>
    </x:row>
    <x:row r="205">
      <x:c r="A205" s="25" t="str">
        <x:v>DRUG GM</x:v>
      </x:c>
      <x:c r="B205" s="26" t="str">
        <x:v>PORTABLE ELECTRIC APPLIANCES</x:v>
      </x:c>
      <x:c r="C205" s="26" t="str">
        <x:v>결합 근거 부족</x:v>
      </x:c>
      <x:c r="D205" s="31" t="n">
        <x:v>-0.009259259259259259</x:v>
      </x:c>
      <x:c r="E205" s="33" t="n">
        <x:v>-0.07398147916666667</x:v>
      </x:c>
      <x:c r="F205" s="35" t="n">
        <x:v>39</x:v>
      </x:c>
      <x:c r="G205" s="37"/>
      <x:c r="H205" s="27" t="str">
        <x:v>판매발생률·매출이 두 단독 방식보다 모두 높다는 조건을 충족하지 못함</x:v>
      </x:c>
    </x:row>
    <x:row r="206">
      <x:c r="A206" s="25" t="str">
        <x:v>GROCERY</x:v>
      </x:c>
      <x:c r="B206" s="26" t="str">
        <x:v>CAT LITTER</x:v>
      </x:c>
      <x:c r="C206" s="26" t="str">
        <x:v>결합 근거 부족</x:v>
      </x:c>
      <x:c r="D206" s="31" t="n">
        <x:v>-0.00867208672086721</x:v>
      </x:c>
      <x:c r="E206" s="33" t="n">
        <x:v>-0.077915171</x:v>
      </x:c>
      <x:c r="F206" s="35" t="n">
        <x:v>100</x:v>
      </x:c>
      <x:c r="G206" s="37"/>
      <x:c r="H206" s="27" t="str">
        <x:v>판매발생률·매출이 두 단독 방식보다 모두 높다는 조건을 충족하지 못함</x:v>
      </x:c>
    </x:row>
    <x:row r="207">
      <x:c r="A207" s="25" t="str">
        <x:v>DRUG GM</x:v>
      </x:c>
      <x:c r="B207" s="26" t="str">
        <x:v>COFFEE FILTERS</x:v>
      </x:c>
      <x:c r="C207" s="26" t="str">
        <x:v>결합 근거 부족</x:v>
      </x:c>
      <x:c r="D207" s="31" t="n">
        <x:v>-0.05384615384615384</x:v>
      </x:c>
      <x:c r="E207" s="33" t="n">
        <x:v>-0.0923076923076923</x:v>
      </x:c>
      <x:c r="F207" s="35" t="n">
        <x:v>2</x:v>
      </x:c>
      <x:c r="G207" s="37"/>
      <x:c r="H207" s="27" t="str">
        <x:v>판매발생률·매출이 두 단독 방식보다 모두 높다는 조건을 충족하지 못함</x:v>
      </x:c>
    </x:row>
    <x:row r="208">
      <x:c r="A208" s="25" t="str">
        <x:v>DRUG GM</x:v>
      </x:c>
      <x:c r="B208" s="26" t="str">
        <x:v>DIAPERS &amp; DISPOSABLES</x:v>
      </x:c>
      <x:c r="C208" s="26" t="str">
        <x:v>결합 근거 부족</x:v>
      </x:c>
      <x:c r="D208" s="31" t="n">
        <x:v>-0.005624758924934234</x:v>
      </x:c>
      <x:c r="E208" s="33" t="n">
        <x:v>-0.11081936965757574</x:v>
      </x:c>
      <x:c r="F208" s="35" t="n">
        <x:v>10910</x:v>
      </x:c>
      <x:c r="G208" s="37"/>
      <x:c r="H208" s="27" t="str">
        <x:v>판매발생률·매출이 두 단독 방식보다 모두 높다는 조건을 충족하지 못함</x:v>
      </x:c>
    </x:row>
    <x:row r="209">
      <x:c r="A209" s="25" t="str">
        <x:v>PRODUCE</x:v>
      </x:c>
      <x:c r="B209" s="26" t="str">
        <x:v>NUTS</x:v>
      </x:c>
      <x:c r="C209" s="26" t="str">
        <x:v>결합 근거 부족</x:v>
      </x:c>
      <x:c r="D209" s="31" t="n">
        <x:v>-0.03208472686733555</x:v>
      </x:c>
      <x:c r="E209" s="33" t="n">
        <x:v>-0.13217190153846156</x:v>
      </x:c>
      <x:c r="F209" s="35" t="n">
        <x:v>225</x:v>
      </x:c>
      <x:c r="G209" s="37"/>
      <x:c r="H209" s="27" t="str">
        <x:v>판매발생률·매출이 두 단독 방식보다 모두 높다는 조건을 충족하지 못함</x:v>
      </x:c>
    </x:row>
    <x:row r="210">
      <x:c r="A210" s="25" t="str">
        <x:v>PRODUCE</x:v>
      </x:c>
      <x:c r="B210" s="26" t="str">
        <x:v>CARROTS</x:v>
      </x:c>
      <x:c r="C210" s="26" t="str">
        <x:v>결합 근거 부족</x:v>
      </x:c>
      <x:c r="D210" s="31" t="n">
        <x:v>-0.02976190476190476</x:v>
      </x:c>
      <x:c r="E210" s="33" t="n">
        <x:v>-0.1780357114285714</x:v>
      </x:c>
      <x:c r="F210" s="35" t="n">
        <x:v>61</x:v>
      </x:c>
      <x:c r="G210" s="37"/>
      <x:c r="H210" s="27" t="str">
        <x:v>판매발생률·매출이 두 단독 방식보다 모두 높다는 조건을 충족하지 못함</x:v>
      </x:c>
    </x:row>
    <x:row r="211">
      <x:c r="A211" s="25" t="str">
        <x:v>GROCERY</x:v>
      </x:c>
      <x:c r="B211" s="26" t="str">
        <x:v>FRZN FRUITS</x:v>
      </x:c>
      <x:c r="C211" s="26" t="str">
        <x:v>결합 근거 부족</x:v>
      </x:c>
      <x:c r="D211" s="31" t="n">
        <x:v>-0.0625</x:v>
      </x:c>
      <x:c r="E211" s="33" t="n">
        <x:v>-0.22321428571428573</x:v>
      </x:c>
      <x:c r="F211" s="35" t="n">
        <x:v>133</x:v>
      </x:c>
      <x:c r="G211" s="37"/>
      <x:c r="H211" s="27" t="str">
        <x:v>판매발생률·매출이 두 단독 방식보다 모두 높다는 조건을 충족하지 못함</x:v>
      </x:c>
    </x:row>
    <x:row r="212">
      <x:c r="A212" s="25" t="str">
        <x:v>DRUG GM</x:v>
      </x:c>
      <x:c r="B212" s="26" t="str">
        <x:v>BOOKSTORE</x:v>
      </x:c>
      <x:c r="C212" s="26" t="str">
        <x:v>결합 근거 부족</x:v>
      </x:c>
      <x:c r="D212" s="31" t="n">
        <x:v>-0.04343434343434344</x:v>
      </x:c>
      <x:c r="E212" s="33" t="n">
        <x:v>-0.22948990033333333</x:v>
      </x:c>
      <x:c r="F212" s="35" t="n">
        <x:v>154</x:v>
      </x:c>
      <x:c r="G212" s="37"/>
      <x:c r="H212" s="27" t="str">
        <x:v>판매발생률·매출이 두 단독 방식보다 모두 높다는 조건을 충족하지 못함</x:v>
      </x:c>
    </x:row>
    <x:row r="213">
      <x:c r="A213" s="25" t="str">
        <x:v>DRUG GM</x:v>
      </x:c>
      <x:c r="B213" s="26" t="str">
        <x:v>LAXATIVES</x:v>
      </x:c>
      <x:c r="C213" s="26" t="str">
        <x:v>결합 근거 부족</x:v>
      </x:c>
      <x:c r="D213" s="31" t="n">
        <x:v>-0.1111111111111111</x:v>
      </x:c>
      <x:c r="E213" s="33" t="n">
        <x:v>-0.5544444333333333</x:v>
      </x:c>
      <x:c r="F213" s="35" t="n">
        <x:v>11</x:v>
      </x:c>
      <x:c r="G213" s="37"/>
      <x:c r="H213" s="27" t="str">
        <x:v>판매발생률·매출이 두 단독 방식보다 모두 높다는 조건을 충족하지 못함</x:v>
      </x:c>
    </x:row>
    <x:row r="214">
      <x:c r="A214" s="25" t="str">
        <x:v>DELI</x:v>
      </x:c>
      <x:c r="B214" s="26" t="str">
        <x:v>PARTY TRAYS</x:v>
      </x:c>
      <x:c r="C214" s="26" t="str">
        <x:v>결합 근거 부족</x:v>
      </x:c>
      <x:c r="D214" s="31" t="n">
        <x:v>-0.12339743589743589</x:v>
      </x:c>
      <x:c r="E214" s="33" t="n">
        <x:v>-1.3059241525</x:v>
      </x:c>
      <x:c r="F214" s="35" t="n">
        <x:v>116</x:v>
      </x:c>
      <x:c r="G214" s="37"/>
      <x:c r="H214" s="27" t="str">
        <x:v>판매발생률·매출이 두 단독 방식보다 모두 높다는 조건을 충족하지 못함</x:v>
      </x:c>
    </x:row>
    <x:row r="215">
      <x:c r="A215" s="25" t="str">
        <x:v>GARDEN CENTER</x:v>
      </x:c>
      <x:c r="B215" s="26" t="str">
        <x:v>GARDEN CENTER</x:v>
      </x:c>
      <x:c r="C215" s="26" t="str">
        <x:v>비교 자료 부족</x:v>
      </x:c>
      <x:c r="D215" s="31" t="n">
        <x:v>0.125</x:v>
      </x:c>
      <x:c r="E215" s="33" t="n">
        <x:v>1.62375</x:v>
      </x:c>
      <x:c r="F215" s="35" t="n">
        <x:v>21</x:v>
      </x:c>
      <x:c r="G215" s="37"/>
      <x:c r="H215" s="27" t="str">
        <x:v>진열만·전단만 중 하나와 비교할 자료가 없음</x:v>
      </x:c>
    </x:row>
    <x:row r="216">
      <x:c r="A216" s="25" t="str">
        <x:v>MEAT</x:v>
      </x:c>
      <x:c r="B216" s="26" t="str">
        <x:v>SMOKED MEATS</x:v>
      </x:c>
      <x:c r="C216" s="26" t="str">
        <x:v>비교 자료 부족</x:v>
      </x:c>
      <x:c r="D216" s="31" t="n">
        <x:v>0.1361111111111111</x:v>
      </x:c>
      <x:c r="E216" s="33" t="n">
        <x:v>0.35555555</x:v>
      </x:c>
      <x:c r="F216" s="35" t="n">
        <x:v>36</x:v>
      </x:c>
      <x:c r="G216" s="37"/>
      <x:c r="H216" s="27" t="str">
        <x:v>진열만·전단만 중 하나와 비교할 자료가 없음</x:v>
      </x:c>
    </x:row>
    <x:row r="217">
      <x:c r="A217" s="25" t="str">
        <x:v>DELI</x:v>
      </x:c>
      <x:c r="B217" s="26" t="str">
        <x:v>CHICKEN/POULTRY</x:v>
      </x:c>
      <x:c r="C217" s="26" t="str">
        <x:v>비교 자료 부족</x:v>
      </x:c>
      <x:c r="D217" s="31" t="n">
        <x:v>0.07142857142857142</x:v>
      </x:c>
      <x:c r="E217" s="33" t="n">
        <x:v>0.28500000000000003</x:v>
      </x:c>
      <x:c r="F217" s="35" t="n">
        <x:v>16</x:v>
      </x:c>
      <x:c r="G217" s="37"/>
      <x:c r="H217" s="27" t="str">
        <x:v>진열만·전단만 중 하나와 비교할 자료가 없음</x:v>
      </x:c>
    </x:row>
    <x:row r="218">
      <x:c r="A218" s="25" t="str">
        <x:v>DELI</x:v>
      </x:c>
      <x:c r="B218" s="26" t="str">
        <x:v>CHEESES</x:v>
      </x:c>
      <x:c r="C218" s="26" t="str">
        <x:v>비교 자료 부족</x:v>
      </x:c>
      <x:c r="D218" s="31" t="n">
        <x:v>0.027777777777777776</x:v>
      </x:c>
      <x:c r="E218" s="33" t="n">
        <x:v>0.027777777777777776</x:v>
      </x:c>
      <x:c r="F218" s="35" t="n">
        <x:v>24</x:v>
      </x:c>
      <x:c r="G218" s="37"/>
      <x:c r="H218" s="27" t="str">
        <x:v>진열만·전단만 중 하나와 비교할 자료가 없음</x:v>
      </x:c>
    </x:row>
    <x:row r="219">
      <x:c r="A219" s="25" t="str">
        <x:v>NUTRITION</x:v>
      </x:c>
      <x:c r="B219" s="26" t="str">
        <x:v>NON-DAIRY BEVERAGES</x:v>
      </x:c>
      <x:c r="C219" s="26" t="str">
        <x:v>비교 자료 부족</x:v>
      </x:c>
      <x:c r="D219" s="31" t="n">
        <x:v>0.007922824302134644</x:v>
      </x:c>
      <x:c r="E219" s="33" t="n">
        <x:v>0.016540228896551726</x:v>
      </x:c>
      <x:c r="F219" s="35" t="n">
        <x:v>344</x:v>
      </x:c>
      <x:c r="G219" s="37"/>
      <x:c r="H219" s="27" t="str">
        <x:v>진열만·전단만 중 하나와 비교할 자료가 없음</x:v>
      </x:c>
    </x:row>
    <x:row r="220">
      <x:c r="A220" s="25" t="str">
        <x:v>NUTRITION</x:v>
      </x:c>
      <x:c r="B220" s="26" t="str">
        <x:v>SOUP</x:v>
      </x:c>
      <x:c r="C220" s="26" t="str">
        <x:v>비교 자료 부족</x:v>
      </x:c>
      <x:c r="D220" s="31" t="n">
        <x:v>0.007291666666666667</x:v>
      </x:c>
      <x:c r="E220" s="33" t="n">
        <x:v>0.015979166666666666</x:v>
      </x:c>
      <x:c r="F220" s="35" t="n">
        <x:v>135</x:v>
      </x:c>
      <x:c r="G220" s="37"/>
      <x:c r="H220" s="27" t="str">
        <x:v>진열만·전단만 중 하나와 비교할 자료가 없음</x:v>
      </x:c>
    </x:row>
    <x:row r="221">
      <x:c r="A221" s="25" t="str">
        <x:v>GROCERY</x:v>
      </x:c>
      <x:c r="B221" s="26" t="str">
        <x:v>OLIVES</x:v>
      </x:c>
      <x:c r="C221" s="26" t="str">
        <x:v>비교 자료 부족</x:v>
      </x:c>
      <x:c r="D221" s="31" t="n">
        <x:v>0.01067193675889328</x:v>
      </x:c>
      <x:c r="E221" s="33" t="n">
        <x:v>0.010671936826086957</x:v>
      </x:c>
      <x:c r="F221" s="35" t="n">
        <x:v>223</x:v>
      </x:c>
      <x:c r="G221" s="37"/>
      <x:c r="H221" s="27" t="str">
        <x:v>진열만·전단만 중 하나와 비교할 자료가 없음</x:v>
      </x:c>
    </x:row>
    <x:row r="222">
      <x:c r="A222" s="25" t="str">
        <x:v>GROCERY</x:v>
      </x:c>
      <x:c r="B222" s="26" t="str">
        <x:v>DRY NOODLES/PASTA</x:v>
      </x:c>
      <x:c r="C222" s="26" t="str">
        <x:v>비교 자료 부족</x:v>
      </x:c>
      <x:c r="D222" s="31" t="n">
        <x:v>-0.007056866864392815</x:v>
      </x:c>
      <x:c r="E222" s="33" t="n">
        <x:v>0.006006732367647059</x:v>
      </x:c>
      <x:c r="F222" s="35" t="n">
        <x:v>810</x:v>
      </x:c>
      <x:c r="G222" s="37"/>
      <x:c r="H222" s="27" t="str">
        <x:v>진열만·전단만 중 하나와 비교할 자료가 없음</x:v>
      </x:c>
    </x:row>
    <x:row r="223">
      <x:c r="A223" s="25" t="str">
        <x:v>COSMETICS</x:v>
      </x:c>
      <x:c r="B223" s="26" t="str">
        <x:v>FRAGRANCES</x:v>
      </x:c>
      <x:c r="C223" s="26" t="str">
        <x:v>비교 자료 부족</x:v>
      </x:c>
      <x:c r="D223" s="31" t="n">
        <x:v>0</x:v>
      </x:c>
      <x:c r="E223" s="33" t="n">
        <x:v>0</x:v>
      </x:c>
      <x:c r="F223" s="35" t="n">
        <x:v>1</x:v>
      </x:c>
      <x:c r="G223" s="37"/>
      <x:c r="H223" s="27" t="str">
        <x:v>진열만·전단만 중 하나와 비교할 자료가 없음</x:v>
      </x:c>
    </x:row>
    <x:row r="224">
      <x:c r="A224" s="25" t="str">
        <x:v>DRUG GM</x:v>
      </x:c>
      <x:c r="B224" s="26" t="str">
        <x:v>ETHNIC PERSONAL CARE</x:v>
      </x:c>
      <x:c r="C224" s="26" t="str">
        <x:v>비교 자료 부족</x:v>
      </x:c>
      <x:c r="D224" s="31" t="n">
        <x:v>0</x:v>
      </x:c>
      <x:c r="E224" s="33" t="n">
        <x:v>0</x:v>
      </x:c>
      <x:c r="F224" s="35" t="n">
        <x:v>4</x:v>
      </x:c>
      <x:c r="G224" s="37"/>
      <x:c r="H224" s="27" t="str">
        <x:v>진열만·전단만 중 하나와 비교할 자료가 없음</x:v>
      </x:c>
    </x:row>
    <x:row r="225">
      <x:c r="A225" s="25" t="str">
        <x:v>DRUG GM</x:v>
      </x:c>
      <x:c r="B225" s="26" t="str">
        <x:v>FALL AND WINTER SEASONAL</x:v>
      </x:c>
      <x:c r="C225" s="26" t="str">
        <x:v>비교 자료 부족</x:v>
      </x:c>
      <x:c r="D225" s="31" t="n">
        <x:v>0</x:v>
      </x:c>
      <x:c r="E225" s="33" t="n">
        <x:v>0</x:v>
      </x:c>
      <x:c r="F225" s="35" t="n">
        <x:v>1</x:v>
      </x:c>
      <x:c r="G225" s="37"/>
      <x:c r="H225" s="27" t="str">
        <x:v>진열만·전단만 중 하나와 비교할 자료가 없음</x:v>
      </x:c>
    </x:row>
    <x:row r="226">
      <x:c r="A226" s="25" t="str">
        <x:v>DRUG GM</x:v>
      </x:c>
      <x:c r="B226" s="26" t="str">
        <x:v>FD WRAPS/BAGS/TRSH BG</x:v>
      </x:c>
      <x:c r="C226" s="26" t="str">
        <x:v>비교 자료 부족</x:v>
      </x:c>
      <x:c r="D226" s="31" t="n">
        <x:v>0</x:v>
      </x:c>
      <x:c r="E226" s="33" t="n">
        <x:v>0</x:v>
      </x:c>
      <x:c r="F226" s="35" t="n">
        <x:v>17</x:v>
      </x:c>
      <x:c r="G226" s="37"/>
      <x:c r="H226" s="27" t="str">
        <x:v>진열만·전단만 중 하나와 비교할 자료가 없음</x:v>
      </x:c>
    </x:row>
    <x:row r="227">
      <x:c r="A227" s="25" t="str">
        <x:v>DRUG GM</x:v>
      </x:c>
      <x:c r="B227" s="26" t="str">
        <x:v>FRAGRANCES</x:v>
      </x:c>
      <x:c r="C227" s="26" t="str">
        <x:v>비교 자료 부족</x:v>
      </x:c>
      <x:c r="D227" s="31" t="n">
        <x:v>0</x:v>
      </x:c>
      <x:c r="E227" s="33" t="n">
        <x:v>0</x:v>
      </x:c>
      <x:c r="F227" s="35" t="n">
        <x:v>1</x:v>
      </x:c>
      <x:c r="G227" s="37"/>
      <x:c r="H227" s="27" t="str">
        <x:v>진열만·전단만 중 하나와 비교할 자료가 없음</x:v>
      </x:c>
    </x:row>
    <x:row r="228">
      <x:c r="A228" s="25" t="str">
        <x:v>DRUG GM</x:v>
      </x:c>
      <x:c r="B228" s="26" t="str">
        <x:v>HOME FREEZING &amp; CANNING SUPPLY</x:v>
      </x:c>
      <x:c r="C228" s="26" t="str">
        <x:v>비교 자료 부족</x:v>
      </x:c>
      <x:c r="D228" s="31" t="n">
        <x:v>0</x:v>
      </x:c>
      <x:c r="E228" s="33" t="n">
        <x:v>0</x:v>
      </x:c>
      <x:c r="F228" s="35" t="n">
        <x:v>9</x:v>
      </x:c>
      <x:c r="G228" s="37"/>
      <x:c r="H228" s="27" t="str">
        <x:v>진열만·전단만 중 하나와 비교할 자료가 없음</x:v>
      </x:c>
    </x:row>
    <x:row r="229">
      <x:c r="A229" s="25" t="str">
        <x:v>DRUG GM</x:v>
      </x:c>
      <x:c r="B229" s="26" t="str">
        <x:v>INFANT FORMULA</x:v>
      </x:c>
      <x:c r="C229" s="26" t="str">
        <x:v>비교 자료 부족</x:v>
      </x:c>
      <x:c r="D229" s="31" t="n">
        <x:v>0</x:v>
      </x:c>
      <x:c r="E229" s="33" t="n">
        <x:v>0</x:v>
      </x:c>
      <x:c r="F229" s="35" t="n">
        <x:v>22</x:v>
      </x:c>
      <x:c r="G229" s="37"/>
      <x:c r="H229" s="27" t="str">
        <x:v>진열만·전단만 중 하나와 비교할 자료가 없음</x:v>
      </x:c>
    </x:row>
    <x:row r="230">
      <x:c r="A230" s="25" t="str">
        <x:v>DRUG GM</x:v>
      </x:c>
      <x:c r="B230" s="26" t="str">
        <x:v>PERSONAL CARE APPLIANCES</x:v>
      </x:c>
      <x:c r="C230" s="26" t="str">
        <x:v>비교 자료 부족</x:v>
      </x:c>
      <x:c r="D230" s="31" t="n">
        <x:v>0</x:v>
      </x:c>
      <x:c r="E230" s="33" t="n">
        <x:v>0</x:v>
      </x:c>
      <x:c r="F230" s="35" t="n">
        <x:v>2</x:v>
      </x:c>
      <x:c r="G230" s="37"/>
      <x:c r="H230" s="27" t="str">
        <x:v>진열만·전단만 중 하나와 비교할 자료가 없음</x:v>
      </x:c>
    </x:row>
    <x:row r="231">
      <x:c r="A231" s="25" t="str">
        <x:v>DRUG GM</x:v>
      </x:c>
      <x:c r="B231" s="26" t="str">
        <x:v>SMOKING CESSATIONS</x:v>
      </x:c>
      <x:c r="C231" s="26" t="str">
        <x:v>비교 자료 부족</x:v>
      </x:c>
      <x:c r="D231" s="31" t="n">
        <x:v>0</x:v>
      </x:c>
      <x:c r="E231" s="33" t="n">
        <x:v>0</x:v>
      </x:c>
      <x:c r="F231" s="35" t="n">
        <x:v>1</x:v>
      </x:c>
      <x:c r="G231" s="37"/>
      <x:c r="H231" s="27" t="str">
        <x:v>진열만·전단만 중 하나와 비교할 자료가 없음</x:v>
      </x:c>
    </x:row>
    <x:row r="232">
      <x:c r="A232" s="25" t="str">
        <x:v>DRUG GM</x:v>
      </x:c>
      <x:c r="B232" s="26" t="str">
        <x:v>TOBACCO OTHER</x:v>
      </x:c>
      <x:c r="C232" s="26" t="str">
        <x:v>비교 자료 부족</x:v>
      </x:c>
      <x:c r="D232" s="31" t="n">
        <x:v>0</x:v>
      </x:c>
      <x:c r="E232" s="33" t="n">
        <x:v>0</x:v>
      </x:c>
      <x:c r="F232" s="35" t="n">
        <x:v>7</x:v>
      </x:c>
      <x:c r="G232" s="37"/>
      <x:c r="H232" s="27" t="str">
        <x:v>진열만·전단만 중 하나와 비교할 자료가 없음</x:v>
      </x:c>
    </x:row>
    <x:row r="233">
      <x:c r="A233" s="25" t="str">
        <x:v>FLORAL</x:v>
      </x:c>
      <x:c r="B233" s="26" t="str">
        <x:v>FLORAL- HARD GOODS</x:v>
      </x:c>
      <x:c r="C233" s="26" t="str">
        <x:v>비교 자료 부족</x:v>
      </x:c>
      <x:c r="D233" s="31" t="n">
        <x:v>0</x:v>
      </x:c>
      <x:c r="E233" s="33" t="n">
        <x:v>0</x:v>
      </x:c>
      <x:c r="F233" s="35" t="n">
        <x:v>1</x:v>
      </x:c>
      <x:c r="G233" s="37"/>
      <x:c r="H233" s="27" t="str">
        <x:v>진열만·전단만 중 하나와 비교할 자료가 없음</x:v>
      </x:c>
    </x:row>
    <x:row r="234">
      <x:c r="A234" s="25" t="str">
        <x:v>FLORAL</x:v>
      </x:c>
      <x:c r="B234" s="26" t="str">
        <x:v>FLORAL-FOLIAGE PLANTS</x:v>
      </x:c>
      <x:c r="C234" s="26" t="str">
        <x:v>비교 자료 부족</x:v>
      </x:c>
      <x:c r="D234" s="31" t="n">
        <x:v>0</x:v>
      </x:c>
      <x:c r="E234" s="33" t="n">
        <x:v>0</x:v>
      </x:c>
      <x:c r="F234" s="35" t="n">
        <x:v>5</x:v>
      </x:c>
      <x:c r="G234" s="37"/>
      <x:c r="H234" s="27" t="str">
        <x:v>진열만·전단만 중 하나와 비교할 자료가 없음</x:v>
      </x:c>
    </x:row>
    <x:row r="235">
      <x:c r="A235" s="25" t="str">
        <x:v>FLORAL</x:v>
      </x:c>
      <x:c r="B235" s="26" t="str">
        <x:v>GIFT &amp; FRUIT BASKETS</x:v>
      </x:c>
      <x:c r="C235" s="26" t="str">
        <x:v>비교 자료 부족</x:v>
      </x:c>
      <x:c r="D235" s="31" t="n">
        <x:v>0</x:v>
      </x:c>
      <x:c r="E235" s="33" t="n">
        <x:v>0</x:v>
      </x:c>
      <x:c r="F235" s="35" t="n">
        <x:v>3</x:v>
      </x:c>
      <x:c r="G235" s="37"/>
      <x:c r="H235" s="27" t="str">
        <x:v>진열만·전단만 중 하나와 비교할 자료가 없음</x:v>
      </x:c>
    </x:row>
    <x:row r="236">
      <x:c r="A236" s="25" t="str">
        <x:v>GARDEN CENTER</x:v>
      </x:c>
      <x:c r="B236" s="26" t="str">
        <x:v>UNKNOWN</x:v>
      </x:c>
      <x:c r="C236" s="26" t="str">
        <x:v>비교 자료 부족</x:v>
      </x:c>
      <x:c r="D236" s="31" t="n">
        <x:v>0</x:v>
      </x:c>
      <x:c r="E236" s="33" t="n">
        <x:v>0</x:v>
      </x:c>
      <x:c r="F236" s="35" t="n">
        <x:v>2</x:v>
      </x:c>
      <x:c r="G236" s="37"/>
      <x:c r="H236" s="27" t="str">
        <x:v>진열만·전단만 중 하나와 비교할 자료가 없음</x:v>
      </x:c>
    </x:row>
    <x:row r="237">
      <x:c r="A237" s="25" t="str">
        <x:v>GROCERY</x:v>
      </x:c>
      <x:c r="B237" s="26" t="str">
        <x:v>BIRD SEED</x:v>
      </x:c>
      <x:c r="C237" s="26" t="str">
        <x:v>비교 자료 부족</x:v>
      </x:c>
      <x:c r="D237" s="31" t="n">
        <x:v>0</x:v>
      </x:c>
      <x:c r="E237" s="33" t="n">
        <x:v>0</x:v>
      </x:c>
      <x:c r="F237" s="35" t="n">
        <x:v>9</x:v>
      </x:c>
      <x:c r="G237" s="37"/>
      <x:c r="H237" s="27" t="str">
        <x:v>진열만·전단만 중 하나와 비교할 자료가 없음</x:v>
      </x:c>
    </x:row>
    <x:row r="238">
      <x:c r="A238" s="25" t="str">
        <x:v>MISC SALES TRAN</x:v>
      </x:c>
      <x:c r="B238" s="26" t="str">
        <x:v>COUPON/MISC ITEMS</x:v>
      </x:c>
      <x:c r="C238" s="26" t="str">
        <x:v>비교 자료 부족</x:v>
      </x:c>
      <x:c r="D238" s="31" t="n">
        <x:v>0</x:v>
      </x:c>
      <x:c r="E238" s="33" t="n">
        <x:v>0</x:v>
      </x:c>
      <x:c r="F238" s="35" t="n">
        <x:v>2</x:v>
      </x:c>
      <x:c r="G238" s="37"/>
      <x:c r="H238" s="27" t="str">
        <x:v>진열만·전단만 중 하나와 비교할 자료가 없음</x:v>
      </x:c>
    </x:row>
    <x:row r="239">
      <x:c r="A239" s="25" t="str">
        <x:v>NUTRITION</x:v>
      </x:c>
      <x:c r="B239" s="26" t="str">
        <x:v>BABYFOOD</x:v>
      </x:c>
      <x:c r="C239" s="26" t="str">
        <x:v>비교 자료 부족</x:v>
      </x:c>
      <x:c r="D239" s="31" t="n">
        <x:v>0</x:v>
      </x:c>
      <x:c r="E239" s="33" t="n">
        <x:v>0</x:v>
      </x:c>
      <x:c r="F239" s="35" t="n">
        <x:v>3</x:v>
      </x:c>
      <x:c r="G239" s="37"/>
      <x:c r="H239" s="27" t="str">
        <x:v>진열만·전단만 중 하나와 비교할 자료가 없음</x:v>
      </x:c>
    </x:row>
    <x:row r="240">
      <x:c r="A240" s="25" t="str">
        <x:v>NUTRITION</x:v>
      </x:c>
      <x:c r="B240" s="26" t="str">
        <x:v>NDAIRY/TEAS/JUICE/SOD</x:v>
      </x:c>
      <x:c r="C240" s="26" t="str">
        <x:v>비교 자료 부족</x:v>
      </x:c>
      <x:c r="D240" s="31" t="n">
        <x:v>0</x:v>
      </x:c>
      <x:c r="E240" s="33" t="n">
        <x:v>0</x:v>
      </x:c>
      <x:c r="F240" s="35" t="n">
        <x:v>3</x:v>
      </x:c>
      <x:c r="G240" s="37"/>
      <x:c r="H240" s="27" t="str">
        <x:v>진열만·전단만 중 하나와 비교할 자료가 없음</x:v>
      </x:c>
    </x:row>
    <x:row r="241">
      <x:c r="A241" s="25" t="str">
        <x:v>NUTRITION</x:v>
      </x:c>
      <x:c r="B241" s="26" t="str">
        <x:v>NON EDIBLE PRODUCTS</x:v>
      </x:c>
      <x:c r="C241" s="26" t="str">
        <x:v>비교 자료 부족</x:v>
      </x:c>
      <x:c r="D241" s="31" t="n">
        <x:v>0</x:v>
      </x:c>
      <x:c r="E241" s="33" t="n">
        <x:v>0</x:v>
      </x:c>
      <x:c r="F241" s="35" t="n">
        <x:v>156</x:v>
      </x:c>
      <x:c r="G241" s="37"/>
      <x:c r="H241" s="27" t="str">
        <x:v>진열만·전단만 중 하나와 비교할 자료가 없음</x:v>
      </x:c>
    </x:row>
    <x:row r="242">
      <x:c r="A242" s="25" t="str">
        <x:v>NUTRITION</x:v>
      </x:c>
      <x:c r="B242" s="26" t="str">
        <x:v>PREPARED/PKGD FOODS</x:v>
      </x:c>
      <x:c r="C242" s="26" t="str">
        <x:v>비교 자료 부족</x:v>
      </x:c>
      <x:c r="D242" s="31" t="n">
        <x:v>0</x:v>
      </x:c>
      <x:c r="E242" s="33" t="n">
        <x:v>0</x:v>
      </x:c>
      <x:c r="F242" s="35" t="n">
        <x:v>22</x:v>
      </x:c>
      <x:c r="G242" s="37"/>
      <x:c r="H242" s="27" t="str">
        <x:v>진열만·전단만 중 하나와 비교할 자료가 없음</x:v>
      </x:c>
    </x:row>
    <x:row r="243">
      <x:c r="A243" s="25" t="str">
        <x:v>PHOTO</x:v>
      </x:c>
      <x:c r="B243" s="26" t="str">
        <x:v>REFRGRATD DOUGH PRODUCTS</x:v>
      </x:c>
      <x:c r="C243" s="26" t="str">
        <x:v>비교 자료 부족</x:v>
      </x:c>
      <x:c r="D243" s="31" t="n">
        <x:v>0</x:v>
      </x:c>
      <x:c r="E243" s="33" t="n">
        <x:v>0</x:v>
      </x:c>
      <x:c r="F243" s="35" t="n">
        <x:v>4</x:v>
      </x:c>
      <x:c r="G243" s="37"/>
      <x:c r="H243" s="27" t="str">
        <x:v>진열만·전단만 중 하나와 비교할 자료가 없음</x:v>
      </x:c>
    </x:row>
    <x:row r="244">
      <x:c r="A244" s="25" t="str">
        <x:v>PRODUCE</x:v>
      </x:c>
      <x:c r="B244" s="26" t="str">
        <x:v>PEPPERS-ALL</x:v>
      </x:c>
      <x:c r="C244" s="26" t="str">
        <x:v>비교 자료 부족</x:v>
      </x:c>
      <x:c r="D244" s="31" t="n">
        <x:v>0</x:v>
      </x:c>
      <x:c r="E244" s="33" t="n">
        <x:v>0</x:v>
      </x:c>
      <x:c r="F244" s="35" t="n">
        <x:v>4</x:v>
      </x:c>
      <x:c r="G244" s="37"/>
      <x:c r="H244" s="27" t="str">
        <x:v>진열만·전단만 중 하나와 비교할 자료가 없음</x:v>
      </x:c>
    </x:row>
    <x:row r="245">
      <x:c r="A245" s="25" t="str">
        <x:v>PRODUCE</x:v>
      </x:c>
      <x:c r="B245" s="26" t="str">
        <x:v>SEASONAL</x:v>
      </x:c>
      <x:c r="C245" s="26" t="str">
        <x:v>비교 자료 부족</x:v>
      </x:c>
      <x:c r="D245" s="31" t="n">
        <x:v>0</x:v>
      </x:c>
      <x:c r="E245" s="33" t="n">
        <x:v>0</x:v>
      </x:c>
      <x:c r="F245" s="35" t="n">
        <x:v>3</x:v>
      </x:c>
      <x:c r="G245" s="37"/>
      <x:c r="H245" s="27" t="str">
        <x:v>진열만·전단만 중 하나와 비교할 자료가 없음</x:v>
      </x:c>
    </x:row>
    <x:row r="246">
      <x:c r="A246" s="25" t="str">
        <x:v>PRODUCE</x:v>
      </x:c>
      <x:c r="B246" s="26" t="str">
        <x:v>TROPICAL FRUIT</x:v>
      </x:c>
      <x:c r="C246" s="26" t="str">
        <x:v>비교 자료 부족</x:v>
      </x:c>
      <x:c r="D246" s="31" t="n">
        <x:v>0</x:v>
      </x:c>
      <x:c r="E246" s="33" t="n">
        <x:v>0</x:v>
      </x:c>
      <x:c r="F246" s="35" t="n">
        <x:v>1</x:v>
      </x:c>
      <x:c r="G246" s="37"/>
      <x:c r="H246" s="27" t="str">
        <x:v>진열만·전단만 중 하나와 비교할 자료가 없음</x:v>
      </x:c>
    </x:row>
    <x:row r="247">
      <x:c r="A247" s="25" t="str">
        <x:v>SEAFOOD</x:v>
      </x:c>
      <x:c r="B247" s="26" t="str">
        <x:v>SEAFOOD-FRESH</x:v>
      </x:c>
      <x:c r="C247" s="26" t="str">
        <x:v>비교 자료 부족</x:v>
      </x:c>
      <x:c r="D247" s="31" t="n">
        <x:v>0</x:v>
      </x:c>
      <x:c r="E247" s="33" t="n">
        <x:v>0</x:v>
      </x:c>
      <x:c r="F247" s="35" t="n">
        <x:v>1</x:v>
      </x:c>
      <x:c r="G247" s="37"/>
      <x:c r="H247" s="27" t="str">
        <x:v>진열만·전단만 중 하나와 비교할 자료가 없음</x:v>
      </x:c>
    </x:row>
    <x:row r="248">
      <x:c r="A248" s="25" t="str">
        <x:v>DRUG GM</x:v>
      </x:c>
      <x:c r="B248" s="26" t="str">
        <x:v>FIRST AID PRODUCTS</x:v>
      </x:c>
      <x:c r="C248" s="26" t="str">
        <x:v>비교 자료 부족</x:v>
      </x:c>
      <x:c r="D248" s="31" t="n">
        <x:v>-0.002551020408163262</x:v>
      </x:c>
      <x:c r="E248" s="33" t="n">
        <x:v>-0.003826530666666666</x:v>
      </x:c>
      <x:c r="F248" s="35" t="n">
        <x:v>312</x:v>
      </x:c>
      <x:c r="G248" s="37"/>
      <x:c r="H248" s="27" t="str">
        <x:v>진열만·전단만 중 하나와 비교할 자료가 없음</x:v>
      </x:c>
    </x:row>
    <x:row r="249">
      <x:c r="A249" s="25" t="str">
        <x:v>DRUG GM</x:v>
      </x:c>
      <x:c r="B249" s="26" t="str">
        <x:v>INFANT CARE PRODUCTS</x:v>
      </x:c>
      <x:c r="C249" s="26" t="str">
        <x:v>비교 자료 부족</x:v>
      </x:c>
      <x:c r="D249" s="31" t="n">
        <x:v>-0.001282051282051289</x:v>
      </x:c>
      <x:c r="E249" s="33" t="n">
        <x:v>-0.006884614444444443</x:v>
      </x:c>
      <x:c r="F249" s="35" t="n">
        <x:v>126</x:v>
      </x:c>
      <x:c r="G249" s="37"/>
      <x:c r="H249" s="27" t="str">
        <x:v>진열만·전단만 중 하나와 비교할 자료가 없음</x:v>
      </x:c>
    </x:row>
    <x:row r="250">
      <x:c r="A250" s="25" t="str">
        <x:v>PRODUCE</x:v>
      </x:c>
      <x:c r="B250" s="26" t="str">
        <x:v>VEGETABLES - ALL OTHERS</x:v>
      </x:c>
      <x:c r="C250" s="26" t="str">
        <x:v>비교 자료 부족</x:v>
      </x:c>
      <x:c r="D250" s="31" t="n">
        <x:v>0</x:v>
      </x:c>
      <x:c r="E250" s="33" t="n">
        <x:v>-0.01000000075</x:v>
      </x:c>
      <x:c r="F250" s="35" t="n">
        <x:v>22</x:v>
      </x:c>
      <x:c r="G250" s="37"/>
      <x:c r="H250" s="27" t="str">
        <x:v>진열만·전단만 중 하나와 비교할 자료가 없음</x:v>
      </x:c>
    </x:row>
    <x:row r="251">
      <x:c r="A251" s="25" t="str">
        <x:v>GROCERY</x:v>
      </x:c>
      <x:c r="B251" s="26" t="str">
        <x:v>COCOA MIXES</x:v>
      </x:c>
      <x:c r="C251" s="26" t="str">
        <x:v>비교 자료 부족</x:v>
      </x:c>
      <x:c r="D251" s="31" t="n">
        <x:v>-0.009364591650822074</x:v>
      </x:c>
      <x:c r="E251" s="33" t="n">
        <x:v>-0.0161460772</x:v>
      </x:c>
      <x:c r="F251" s="35" t="n">
        <x:v>535</x:v>
      </x:c>
      <x:c r="G251" s="37"/>
      <x:c r="H251" s="27" t="str">
        <x:v>진열만·전단만 중 하나와 비교할 자료가 없음</x:v>
      </x:c>
    </x:row>
    <x:row r="252">
      <x:c r="A252" s="25" t="str">
        <x:v>DRUG GM</x:v>
      </x:c>
      <x:c r="B252" s="26" t="str">
        <x:v>DOLLAR VALUE PRODUCTS</x:v>
      </x:c>
      <x:c r="C252" s="26" t="str">
        <x:v>비교 자료 부족</x:v>
      </x:c>
      <x:c r="D252" s="31" t="n">
        <x:v>-0.013888888888888888</x:v>
      </x:c>
      <x:c r="E252" s="33" t="n">
        <x:v>-0.027777777777777776</x:v>
      </x:c>
      <x:c r="F252" s="35" t="n">
        <x:v>48</x:v>
      </x:c>
      <x:c r="G252" s="37"/>
      <x:c r="H252" s="27" t="str">
        <x:v>진열만·전단만 중 하나와 비교할 자료가 없음</x:v>
      </x:c>
    </x:row>
    <x:row r="253">
      <x:c r="A253" s="28" t="str">
        <x:v>DELI</x:v>
      </x:c>
      <x:c r="B253" s="29" t="str">
        <x:v>DELI MEATS</x:v>
      </x:c>
      <x:c r="C253" s="29" t="str">
        <x:v>비교 자료 부족</x:v>
      </x:c>
      <x:c r="D253" s="32" t="n">
        <x:v>0</x:v>
      </x:c>
      <x:c r="E253" s="34" t="n">
        <x:v>-0.028571428571428574</x:v>
      </x:c>
      <x:c r="F253" s="36" t="n">
        <x:v>12</x:v>
      </x:c>
      <x:c r="G253" s="38"/>
      <x:c r="H253" s="30" t="str">
        <x:v>진열만·전단만 중 하나와 비교할 자료가 없음</x:v>
      </x:c>
    </x:row>
  </x:sheetData>
  <x:conditionalFormatting sqref="C2:C253">
    <x:cfRule type="containsText" dxfId="0" priority="1" operator="containsText" text="우선 적용"/>
    <x:cfRule type="containsText" dxfId="1" priority="2" operator="containsText" text="추가 실험"/>
    <x:cfRule type="containsText" dxfId="2" priority="3" operator="containsText" text="근거 부족"/>
  </x:conditionalFormatting>
  <x:pageMargins left="0.7" right="0.7" top="0.75" bottom="0.75" header="0.3" footer="0.3"/>
  <x:tableParts count="1">
    <x:tablePart xmlns:r="http://schemas.openxmlformats.org/officeDocument/2006/relationships" r:id="R1205ee1becd24f9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8" hidden="0" customWidth="1"/>
    <x:col min="37" max="37" width="55" hidden="0" customWidth="1"/>
  </x:cols>
  <x:sheetData>
    <x:row r="1">
      <x:c r="A1" s="22" t="str">
        <x:v>DEPARTMENT</x:v>
      </x:c>
      <x:c r="B1" s="23" t="str">
        <x:v>COMMODITY_DESC</x:v>
      </x:c>
      <x:c r="C1" s="23" t="str">
        <x:v>products_vs_display_only</x:v>
      </x:c>
      <x:c r="D1" s="23" t="str">
        <x:v>product_stores_vs_display_only</x:v>
      </x:c>
      <x:c r="E1" s="23" t="str">
        <x:v>matched_pairs_vs_display_only</x:v>
      </x:c>
      <x:c r="F1" s="23" t="str">
        <x:v>sales_incidence_mean_vs_display_only</x:v>
      </x:c>
      <x:c r="G1" s="23" t="str">
        <x:v>sales_incidence_ci_low_vs_display_only</x:v>
      </x:c>
      <x:c r="H1" s="23" t="str">
        <x:v>sales_incidence_ci_high_vs_display_only</x:v>
      </x:c>
      <x:c r="I1" s="23" t="str">
        <x:v>sales_incidence_p_one_sided_vs_display_only</x:v>
      </x:c>
      <x:c r="J1" s="23" t="str">
        <x:v>revenue_mean_vs_display_only</x:v>
      </x:c>
      <x:c r="K1" s="23" t="str">
        <x:v>revenue_ci_low_vs_display_only</x:v>
      </x:c>
      <x:c r="L1" s="23" t="str">
        <x:v>revenue_ci_high_vs_display_only</x:v>
      </x:c>
      <x:c r="M1" s="23" t="str">
        <x:v>revenue_p_one_sided_vs_display_only</x:v>
      </x:c>
      <x:c r="N1" s="23" t="str">
        <x:v>positive_product_share_sales_vs_display_only</x:v>
      </x:c>
      <x:c r="O1" s="23" t="str">
        <x:v>positive_product_share_revenue_vs_display_only</x:v>
      </x:c>
      <x:c r="P1" s="23" t="str">
        <x:v>products_vs_mailer_only</x:v>
      </x:c>
      <x:c r="Q1" s="23" t="str">
        <x:v>product_stores_vs_mailer_only</x:v>
      </x:c>
      <x:c r="R1" s="23" t="str">
        <x:v>matched_pairs_vs_mailer_only</x:v>
      </x:c>
      <x:c r="S1" s="23" t="str">
        <x:v>sales_incidence_mean_vs_mailer_only</x:v>
      </x:c>
      <x:c r="T1" s="23" t="str">
        <x:v>sales_incidence_ci_low_vs_mailer_only</x:v>
      </x:c>
      <x:c r="U1" s="23" t="str">
        <x:v>sales_incidence_ci_high_vs_mailer_only</x:v>
      </x:c>
      <x:c r="V1" s="23" t="str">
        <x:v>sales_incidence_p_one_sided_vs_mailer_only</x:v>
      </x:c>
      <x:c r="W1" s="23" t="str">
        <x:v>revenue_mean_vs_mailer_only</x:v>
      </x:c>
      <x:c r="X1" s="23" t="str">
        <x:v>revenue_ci_low_vs_mailer_only</x:v>
      </x:c>
      <x:c r="Y1" s="23" t="str">
        <x:v>revenue_ci_high_vs_mailer_only</x:v>
      </x:c>
      <x:c r="Z1" s="23" t="str">
        <x:v>revenue_p_one_sided_vs_mailer_only</x:v>
      </x:c>
      <x:c r="AA1" s="23" t="str">
        <x:v>positive_product_share_sales_vs_mailer_only</x:v>
      </x:c>
      <x:c r="AB1" s="23" t="str">
        <x:v>positive_product_share_revenue_vs_mailer_only</x:v>
      </x:c>
      <x:c r="AC1" s="23" t="str">
        <x:v>has_both_comparisons</x:v>
      </x:c>
      <x:c r="AD1" s="23" t="str">
        <x:v>direction_pass</x:v>
      </x:c>
      <x:c r="AE1" s="23" t="str">
        <x:v>reliable_both</x:v>
      </x:c>
      <x:c r="AF1" s="23" t="str">
        <x:v>conservative_sales_effect</x:v>
      </x:c>
      <x:c r="AG1" s="23" t="str">
        <x:v>conservative_revenue_effect</x:v>
      </x:c>
      <x:c r="AH1" s="23" t="str">
        <x:v>coverage_matched_pairs</x:v>
      </x:c>
      <x:c r="AI1" s="23" t="str">
        <x:v>priority_score</x:v>
      </x:c>
      <x:c r="AJ1" s="23" t="str">
        <x:v>strategy_group</x:v>
      </x:c>
      <x:c r="AK1" s="24" t="str">
        <x:v>strategy_reason</x:v>
      </x:c>
    </x:row>
    <x:row r="2">
      <x:c r="A2" s="25" t="str">
        <x:v>PRODUCE</x:v>
      </x:c>
      <x:c r="B2" s="26" t="str">
        <x:v>ORGANICS FRUIT &amp; VEGETABLES</x:v>
      </x:c>
      <x:c r="C2" s="26" t="n">
        <x:v>10</x:v>
      </x:c>
      <x:c r="D2" s="26" t="n">
        <x:v>22</x:v>
      </x:c>
      <x:c r="E2" s="26" t="n">
        <x:v>28</x:v>
      </x:c>
      <x:c r="F2" s="26" t="n">
        <x:v>0</x:v>
      </x:c>
      <x:c r="G2" s="26" t="n">
        <x:v>0</x:v>
      </x:c>
      <x:c r="H2" s="26" t="n">
        <x:v>0</x:v>
      </x:c>
      <x:c r="I2" s="26" t="n">
        <x:v>0.5</x:v>
      </x:c>
      <x:c r="J2" s="26" t="n">
        <x:v>0.08333333000000001</x:v>
      </x:c>
      <x:c r="K2" s="26" t="n">
        <x:v>-0.07999999679999997</x:v>
      </x:c>
      <x:c r="L2" s="26" t="n">
        <x:v>0.2466666568</x:v>
      </x:c>
      <x:c r="M2" s="26" t="n">
        <x:v>0.158655253931457</x:v>
      </x:c>
      <x:c r="N2" s="26" t="n">
        <x:v>0</x:v>
      </x:c>
      <x:c r="O2" s="26" t="n">
        <x:v>0.1</x:v>
      </x:c>
      <x:c r="P2" s="26" t="n">
        <x:v>7</x:v>
      </x:c>
      <x:c r="Q2" s="26" t="n">
        <x:v>19</x:v>
      </x:c>
      <x:c r="R2" s="26" t="n">
        <x:v>19</x:v>
      </x:c>
      <x:c r="S2" s="26" t="n">
        <x:v>0.08333333333333333</x:v>
      </x:c>
      <x:c r="T2" s="26" t="n">
        <x:v>-0.023593432882302937</x:v>
      </x:c>
      <x:c r="U2" s="26" t="n">
        <x:v>0.1902600995489696</x:v>
      </x:c>
      <x:c r="V2" s="26" t="n">
        <x:v>0.0633152289738086</x:v>
      </x:c>
      <x:c r="W2" s="26" t="n">
        <x:v>0.3448809428571429</x:v>
      </x:c>
      <x:c r="X2" s="26" t="n">
        <x:v>-0.1336861620300288</x:v>
      </x:c>
      <x:c r="Y2" s="26" t="n">
        <x:v>0.8234480477443146</x:v>
      </x:c>
      <x:c r="Z2" s="26" t="n">
        <x:v>0.07890428128715117</x:v>
      </x:c>
      <x:c r="AA2" s="26" t="n">
        <x:v>0.2857142857142857</x:v>
      </x:c>
      <x:c r="AB2" s="26" t="n">
        <x:v>0.2857142857142857</x:v>
      </x:c>
      <x:c r="AC2" s="39" t="b">
        <x:v>1</x:v>
      </x:c>
      <x:c r="AD2" s="39" t="b">
        <x:v>0</x:v>
      </x:c>
      <x:c r="AE2" s="39" t="b">
        <x:v>0</x:v>
      </x:c>
      <x:c r="AF2" s="26" t="n">
        <x:v>0</x:v>
      </x:c>
      <x:c r="AG2" s="26" t="n">
        <x:v>0.08333333000000001</x:v>
      </x:c>
      <x:c r="AH2" s="26" t="n">
        <x:v>19</x:v>
      </x:c>
      <x:c r="AI2" s="26"/>
      <x:c r="AJ2" s="26" t="str">
        <x:v>결합 근거 부족</x:v>
      </x:c>
      <x:c r="AK2" s="27" t="str">
        <x:v>판매발생률·매출이 두 단독 방식보다 모두 높다는 조건을 충족하지 못함</x:v>
      </x:c>
    </x:row>
    <x:row r="3">
      <x:c r="A3" s="25" t="str">
        <x:v>DRUG GM</x:v>
      </x:c>
      <x:c r="B3" s="26" t="str">
        <x:v>LAWN AND GARDEN SHOP</x:v>
      </x:c>
      <x:c r="C3" s="26" t="n">
        <x:v>18</x:v>
      </x:c>
      <x:c r="D3" s="26" t="n">
        <x:v>147</x:v>
      </x:c>
      <x:c r="E3" s="26" t="n">
        <x:v>251</x:v>
      </x:c>
      <x:c r="F3" s="26" t="n">
        <x:v>0.002246732026143789</x:v>
      </x:c>
      <x:c r="G3" s="26" t="n">
        <x:v>-0.0007756690141198261</x:v>
      </x:c>
      <x:c r="H3" s="26" t="n">
        <x:v>0.005269133066407404</x:v>
      </x:c>
      <x:c r="I3" s="26" t="n">
        <x:v>0.07256017860346851</x:v>
      </x:c>
      <x:c r="J3" s="26" t="n">
        <x:v>0.023954248555555557</x:v>
      </x:c>
      <x:c r="K3" s="26" t="n">
        <x:v>-0.02025060174621722</x:v>
      </x:c>
      <x:c r="L3" s="26" t="n">
        <x:v>0.06815909885732833</x:v>
      </x:c>
      <x:c r="M3" s="26" t="n">
        <x:v>0.14409331896290167</x:v>
      </x:c>
      <x:c r="N3" s="26" t="n">
        <x:v>0.1111111111111111</x:v>
      </x:c>
      <x:c r="O3" s="26" t="n">
        <x:v>0.1111111111111111</x:v>
      </x:c>
      <x:c r="P3" s="26" t="n">
        <x:v>11</x:v>
      </x:c>
      <x:c r="Q3" s="26" t="n">
        <x:v>72</x:v>
      </x:c>
      <x:c r="R3" s="26" t="n">
        <x:v>81</x:v>
      </x:c>
      <x:c r="S3" s="26" t="n">
        <x:v>0.010822510822510817</x:v>
      </x:c>
      <x:c r="T3" s="26" t="n">
        <x:v>-0.01539827947628604</x:v>
      </x:c>
      <x:c r="U3" s="26" t="n">
        <x:v>0.03704330112130767</x:v>
      </x:c>
      <x:c r="V3" s="26" t="n">
        <x:v>0.20926303700143759</x:v>
      </x:c>
      <x:c r="W3" s="26" t="n">
        <x:v>0.025173159999999997</x:v>
      </x:c>
      <x:c r="X3" s="26" t="n">
        <x:v>-0.05799350395542234</x:v>
      </x:c>
      <x:c r="Y3" s="26" t="n">
        <x:v>0.10833982395542234</x:v>
      </x:c>
      <x:c r="Z3" s="26" t="n">
        <x:v>0.2765038291608414</x:v>
      </x:c>
      <x:c r="AA3" s="26" t="n">
        <x:v>0.09090909090909091</x:v>
      </x:c>
      <x:c r="AB3" s="26" t="n">
        <x:v>0.09090909090909091</x:v>
      </x:c>
      <x:c r="AC3" s="39" t="b">
        <x:v>1</x:v>
      </x:c>
      <x:c r="AD3" s="39" t="b">
        <x:v>0</x:v>
      </x:c>
      <x:c r="AE3" s="39" t="b">
        <x:v>0</x:v>
      </x:c>
      <x:c r="AF3" s="26" t="n">
        <x:v>0.002246732026143789</x:v>
      </x:c>
      <x:c r="AG3" s="26" t="n">
        <x:v>0.023954248555555557</x:v>
      </x:c>
      <x:c r="AH3" s="26" t="n">
        <x:v>81</x:v>
      </x:c>
      <x:c r="AI3" s="26"/>
      <x:c r="AJ3" s="26" t="str">
        <x:v>결합 근거 부족</x:v>
      </x:c>
      <x:c r="AK3" s="27" t="str">
        <x:v>판매발생률·매출이 두 단독 방식보다 모두 높다는 조건을 충족하지 못함</x:v>
      </x:c>
    </x:row>
    <x:row r="4">
      <x:c r="A4" s="25" t="str">
        <x:v>DRUG GM</x:v>
      </x:c>
      <x:c r="B4" s="26" t="str">
        <x:v>FEMININE HYGIENE</x:v>
      </x:c>
      <x:c r="C4" s="26" t="n">
        <x:v>162</x:v>
      </x:c>
      <x:c r="D4" s="26" t="n">
        <x:v>4606</x:v>
      </x:c>
      <x:c r="E4" s="26" t="n">
        <x:v>10073</x:v>
      </x:c>
      <x:c r="F4" s="26" t="n">
        <x:v>0.007186625607223427</x:v>
      </x:c>
      <x:c r="G4" s="26" t="n">
        <x:v>-0.005027140104437478</x:v>
      </x:c>
      <x:c r="H4" s="26" t="n">
        <x:v>0.01940039131888433</x:v>
      </x:c>
      <x:c r="I4" s="26" t="n">
        <x:v>0.12439951085917159</x:v>
      </x:c>
      <x:c r="J4" s="26" t="n">
        <x:v>0.019463717493827165</x:v>
      </x:c>
      <x:c r="K4" s="26" t="n">
        <x:v>-0.014717643733932612</x:v>
      </x:c>
      <x:c r="L4" s="26" t="n">
        <x:v>0.05364507872158694</x:v>
      </x:c>
      <x:c r="M4" s="26" t="n">
        <x:v>0.13219549477690176</x:v>
      </x:c>
      <x:c r="N4" s="26" t="n">
        <x:v>0.12962962962962962</x:v>
      </x:c>
      <x:c r="O4" s="26" t="n">
        <x:v>0.13580246913580246</x:v>
      </x:c>
      <x:c r="P4" s="26" t="n">
        <x:v>129</x:v>
      </x:c>
      <x:c r="Q4" s="26" t="n">
        <x:v>2843</x:v>
      </x:c>
      <x:c r="R4" s="26" t="n">
        <x:v>3397</x:v>
      </x:c>
      <x:c r="S4" s="26" t="n">
        <x:v>0.0006814878925517354</x:v>
      </x:c>
      <x:c r="T4" s="26" t="n">
        <x:v>-0.005428235480713371</x:v>
      </x:c>
      <x:c r="U4" s="26" t="n">
        <x:v>0.006791211265816842</x:v>
      </x:c>
      <x:c r="V4" s="26" t="n">
        <x:v>0.4134724911350767</x:v>
      </x:c>
      <x:c r="W4" s="26" t="n">
        <x:v>0.015405782728682168</x:v>
      </x:c>
      <x:c r="X4" s="26" t="n">
        <x:v>-0.030607115370064816</x:v>
      </x:c>
      <x:c r="Y4" s="26" t="n">
        <x:v>0.061418680827429156</x:v>
      </x:c>
      <x:c r="Z4" s="26" t="n">
        <x:v>0.2558360470320883</x:v>
      </x:c>
      <x:c r="AA4" s="26" t="n">
        <x:v>0.06976744186046512</x:v>
      </x:c>
      <x:c r="AB4" s="26" t="n">
        <x:v>0.07751937984496124</x:v>
      </x:c>
      <x:c r="AC4" s="39" t="b">
        <x:v>1</x:v>
      </x:c>
      <x:c r="AD4" s="39" t="b">
        <x:v>0</x:v>
      </x:c>
      <x:c r="AE4" s="39" t="b">
        <x:v>0</x:v>
      </x:c>
      <x:c r="AF4" s="26" t="n">
        <x:v>0.0006814878925517354</x:v>
      </x:c>
      <x:c r="AG4" s="26" t="n">
        <x:v>0.015405782728682168</x:v>
      </x:c>
      <x:c r="AH4" s="26" t="n">
        <x:v>3397</x:v>
      </x:c>
      <x:c r="AI4" s="26"/>
      <x:c r="AJ4" s="26" t="str">
        <x:v>결합 근거 부족</x:v>
      </x:c>
      <x:c r="AK4" s="27" t="str">
        <x:v>판매발생률·매출이 두 단독 방식보다 모두 높다는 조건을 충족하지 못함</x:v>
      </x:c>
    </x:row>
    <x:row r="5">
      <x:c r="A5" s="25" t="str">
        <x:v>GROCERY</x:v>
      </x:c>
      <x:c r="B5" s="26" t="str">
        <x:v>DINNER MXS:DRY</x:v>
      </x:c>
      <x:c r="C5" s="26" t="n">
        <x:v>173</x:v>
      </x:c>
      <x:c r="D5" s="26" t="n">
        <x:v>6313</x:v>
      </x:c>
      <x:c r="E5" s="26" t="n">
        <x:v>13461</x:v>
      </x:c>
      <x:c r="F5" s="26" t="n">
        <x:v>0.018213818786067284</x:v>
      </x:c>
      <x:c r="G5" s="26" t="n">
        <x:v>0.0074818144623008745</x:v>
      </x:c>
      <x:c r="H5" s="26" t="n">
        <x:v>0.028945823109833693</x:v>
      </x:c>
      <x:c r="I5" s="26" t="n">
        <x:v>0.00043985648518907953</x:v>
      </x:c>
      <x:c r="J5" s="26" t="n">
        <x:v>0.023467589947976875</x:v>
      </x:c>
      <x:c r="K5" s="26" t="n">
        <x:v>-0.0024132390604277264</x:v>
      </x:c>
      <x:c r="L5" s="26" t="n">
        <x:v>0.04934841895638148</x:v>
      </x:c>
      <x:c r="M5" s="26" t="n">
        <x:v>0.037764279514973555</x:v>
      </x:c>
      <x:c r="N5" s="26" t="n">
        <x:v>0.23699421965317918</x:v>
      </x:c>
      <x:c r="O5" s="26" t="n">
        <x:v>0.24277456647398843</x:v>
      </x:c>
      <x:c r="P5" s="26" t="n">
        <x:v>119</x:v>
      </x:c>
      <x:c r="Q5" s="26" t="n">
        <x:v>3033</x:v>
      </x:c>
      <x:c r="R5" s="26" t="n">
        <x:v>3674</x:v>
      </x:c>
      <x:c r="S5" s="26" t="n">
        <x:v>0.007827604711431572</x:v>
      </x:c>
      <x:c r="T5" s="26" t="n">
        <x:v>-0.002453977147825366</x:v>
      </x:c>
      <x:c r="U5" s="26" t="n">
        <x:v>0.01810918657068851</x:v>
      </x:c>
      <x:c r="V5" s="26" t="n">
        <x:v>0.06782426883117293</x:v>
      </x:c>
      <x:c r="W5" s="26" t="n">
        <x:v>0.00960783438655462</x:v>
      </x:c>
      <x:c r="X5" s="26" t="n">
        <x:v>-0.0124118259799311</x:v>
      </x:c>
      <x:c r="Y5" s="26" t="n">
        <x:v>0.031627494753040344</x:v>
      </x:c>
      <x:c r="Z5" s="26" t="n">
        <x:v>0.19621843523684515</x:v>
      </x:c>
      <x:c r="AA5" s="26" t="n">
        <x:v>0.15126050420168066</x:v>
      </x:c>
      <x:c r="AB5" s="26" t="n">
        <x:v>0.14285714285714285</x:v>
      </x:c>
      <x:c r="AC5" s="39" t="b">
        <x:v>1</x:v>
      </x:c>
      <x:c r="AD5" s="39" t="b">
        <x:v>0</x:v>
      </x:c>
      <x:c r="AE5" s="39" t="b">
        <x:v>0</x:v>
      </x:c>
      <x:c r="AF5" s="26" t="n">
        <x:v>0.007827604711431572</x:v>
      </x:c>
      <x:c r="AG5" s="26" t="n">
        <x:v>0.00960783438655462</x:v>
      </x:c>
      <x:c r="AH5" s="26" t="n">
        <x:v>3674</x:v>
      </x:c>
      <x:c r="AI5" s="26"/>
      <x:c r="AJ5" s="26" t="str">
        <x:v>결합 근거 부족</x:v>
      </x:c>
      <x:c r="AK5" s="27" t="str">
        <x:v>판매발생률·매출이 두 단독 방식보다 모두 높다는 조건을 충족하지 못함</x:v>
      </x:c>
    </x:row>
    <x:row r="6">
      <x:c r="A6" s="25" t="str">
        <x:v>DRUG GM</x:v>
      </x:c>
      <x:c r="B6" s="26" t="str">
        <x:v>HALLOWEEN</x:v>
      </x:c>
      <x:c r="C6" s="26" t="n">
        <x:v>125</x:v>
      </x:c>
      <x:c r="D6" s="26" t="n">
        <x:v>415</x:v>
      </x:c>
      <x:c r="E6" s="26" t="n">
        <x:v>477</x:v>
      </x:c>
      <x:c r="F6" s="26" t="n">
        <x:v>0.002257142857142858</x:v>
      </x:c>
      <x:c r="G6" s="26" t="n">
        <x:v>-0.015979898584899885</x:v>
      </x:c>
      <x:c r="H6" s="26" t="n">
        <x:v>0.0204941842991856</x:v>
      </x:c>
      <x:c r="I6" s="26" t="n">
        <x:v>0.40416414576665255</x:v>
      </x:c>
      <x:c r="J6" s="26" t="n">
        <x:v>0.005534441520000002</x:v>
      </x:c>
      <x:c r="K6" s="26" t="n">
        <x:v>-0.05111997088144526</x:v>
      </x:c>
      <x:c r="L6" s="26" t="n">
        <x:v>0.06218885392144526</x:v>
      </x:c>
      <x:c r="M6" s="26" t="n">
        <x:v>0.42407948595067835</x:v>
      </x:c>
      <x:c r="N6" s="26" t="n">
        <x:v>0.024</x:v>
      </x:c>
      <x:c r="O6" s="26" t="n">
        <x:v>0.024</x:v>
      </x:c>
      <x:c r="P6" s="26" t="n">
        <x:v>78</x:v>
      </x:c>
      <x:c r="Q6" s="26" t="n">
        <x:v>198</x:v>
      </x:c>
      <x:c r="R6" s="26" t="n">
        <x:v>227</x:v>
      </x:c>
      <x:c r="S6" s="26" t="n">
        <x:v>0.005448717948717949</x:v>
      </x:c>
      <x:c r="T6" s="26" t="n">
        <x:v>-0.0009147981280843622</x:v>
      </x:c>
      <x:c r="U6" s="26" t="n">
        <x:v>0.01181223402552026</x:v>
      </x:c>
      <x:c r="V6" s="26" t="n">
        <x:v>0.04665043523390684</x:v>
      </x:c>
      <x:c r="W6" s="26" t="n">
        <x:v>0.06032051153846153</x:v>
      </x:c>
      <x:c r="X6" s="26" t="n">
        <x:v>-0.024778247132057937</x:v>
      </x:c>
      <x:c r="Y6" s="26" t="n">
        <x:v>0.145419270208981</x:v>
      </x:c>
      <x:c r="Z6" s="26" t="n">
        <x:v>0.08236988401205553</x:v>
      </x:c>
      <x:c r="AA6" s="26" t="n">
        <x:v>0.038461538461538464</x:v>
      </x:c>
      <x:c r="AB6" s="26" t="n">
        <x:v>0.038461538461538464</x:v>
      </x:c>
      <x:c r="AC6" s="39" t="b">
        <x:v>1</x:v>
      </x:c>
      <x:c r="AD6" s="39" t="b">
        <x:v>0</x:v>
      </x:c>
      <x:c r="AE6" s="39" t="b">
        <x:v>0</x:v>
      </x:c>
      <x:c r="AF6" s="26" t="n">
        <x:v>0.002257142857142858</x:v>
      </x:c>
      <x:c r="AG6" s="26" t="n">
        <x:v>0.005534441520000002</x:v>
      </x:c>
      <x:c r="AH6" s="26" t="n">
        <x:v>227</x:v>
      </x:c>
      <x:c r="AI6" s="26"/>
      <x:c r="AJ6" s="26" t="str">
        <x:v>결합 근거 부족</x:v>
      </x:c>
      <x:c r="AK6" s="27" t="str">
        <x:v>판매발생률·매출이 두 단독 방식보다 모두 높다는 조건을 충족하지 못함</x:v>
      </x:c>
    </x:row>
    <x:row r="7">
      <x:c r="A7" s="25" t="str">
        <x:v>GROCERY</x:v>
      </x:c>
      <x:c r="B7" s="26" t="str">
        <x:v>CAT FOOD</x:v>
      </x:c>
      <x:c r="C7" s="26" t="n">
        <x:v>100</x:v>
      </x:c>
      <x:c r="D7" s="26" t="n">
        <x:v>902</x:v>
      </x:c>
      <x:c r="E7" s="26" t="n">
        <x:v>1083</x:v>
      </x:c>
      <x:c r="F7" s="26" t="n">
        <x:v>-0.00019044241810199308</x:v>
      </x:c>
      <x:c r="G7" s="26" t="n">
        <x:v>-0.002397156802171113</x:v>
      </x:c>
      <x:c r="H7" s="26" t="n">
        <x:v>0.002016271965967127</x:v>
      </x:c>
      <x:c r="I7" s="26" t="n">
        <x:v>0.5671609211600901</x:v>
      </x:c>
      <x:c r="J7" s="26" t="n">
        <x:v>0.00536767836</x:v>
      </x:c>
      <x:c r="K7" s="26" t="n">
        <x:v>-0.008310638085258972</x:v>
      </x:c>
      <x:c r="L7" s="26" t="n">
        <x:v>0.01904599480525897</x:v>
      </x:c>
      <x:c r="M7" s="26" t="n">
        <x:v>0.2209027312418951</x:v>
      </x:c>
      <x:c r="N7" s="26" t="n">
        <x:v>0.03</x:v>
      </x:c>
      <x:c r="O7" s="26" t="n">
        <x:v>0.03</x:v>
      </x:c>
      <x:c r="P7" s="26" t="n">
        <x:v>42</x:v>
      </x:c>
      <x:c r="Q7" s="26" t="n">
        <x:v>189</x:v>
      </x:c>
      <x:c r="R7" s="26" t="n">
        <x:v>189</x:v>
      </x:c>
      <x:c r="S7" s="26" t="n">
        <x:v>0.004058441558441557</x:v>
      </x:c>
      <x:c r="T7" s="26" t="n">
        <x:v>-0.0020997823491388286</x:v>
      </x:c>
      <x:c r="U7" s="26" t="n">
        <x:v>0.010216665466021943</x:v>
      </x:c>
      <x:c r="V7" s="26" t="n">
        <x:v>0.09823143917389097</x:v>
      </x:c>
      <x:c r="W7" s="26" t="n">
        <x:v>0.0313446969047619</x:v>
      </x:c>
      <x:c r="X7" s="26" t="n">
        <x:v>-0.017219423589836476</x:v>
      </x:c>
      <x:c r="Y7" s="26" t="n">
        <x:v>0.07990881739936029</x:v>
      </x:c>
      <x:c r="Z7" s="26" t="n">
        <x:v>0.10292830666402202</x:v>
      </x:c>
      <x:c r="AA7" s="26" t="n">
        <x:v>0.047619047619047616</x:v>
      </x:c>
      <x:c r="AB7" s="26" t="n">
        <x:v>0.047619047619047616</x:v>
      </x:c>
      <x:c r="AC7" s="39" t="b">
        <x:v>1</x:v>
      </x:c>
      <x:c r="AD7" s="39" t="b">
        <x:v>0</x:v>
      </x:c>
      <x:c r="AE7" s="39" t="b">
        <x:v>0</x:v>
      </x:c>
      <x:c r="AF7" s="26" t="n">
        <x:v>-0.00019044241810199308</x:v>
      </x:c>
      <x:c r="AG7" s="26" t="n">
        <x:v>0.00536767836</x:v>
      </x:c>
      <x:c r="AH7" s="26" t="n">
        <x:v>189</x:v>
      </x:c>
      <x:c r="AI7" s="26"/>
      <x:c r="AJ7" s="26" t="str">
        <x:v>결합 근거 부족</x:v>
      </x:c>
      <x:c r="AK7" s="27" t="str">
        <x:v>판매발생률·매출이 두 단독 방식보다 모두 높다는 조건을 충족하지 못함</x:v>
      </x:c>
    </x:row>
    <x:row r="8">
      <x:c r="A8" s="25" t="str">
        <x:v>NUTRITION</x:v>
      </x:c>
      <x:c r="B8" s="26" t="str">
        <x:v>BEVERAGE</x:v>
      </x:c>
      <x:c r="C8" s="26" t="n">
        <x:v>17</x:v>
      </x:c>
      <x:c r="D8" s="26" t="n">
        <x:v>195</x:v>
      </x:c>
      <x:c r="E8" s="26" t="n">
        <x:v>241</x:v>
      </x:c>
      <x:c r="F8" s="26" t="n">
        <x:v>0.002450980392156859</x:v>
      </x:c>
      <x:c r="G8" s="26" t="n">
        <x:v>-0.002352941176470585</x:v>
      </x:c>
      <x:c r="H8" s="26" t="n">
        <x:v>0.007254901960784302</x:v>
      </x:c>
      <x:c r="I8" s="26" t="n">
        <x:v>0.15865525393145713</x:v>
      </x:c>
      <x:c r="J8" s="26" t="n">
        <x:v>0.0049019609411764704</x:v>
      </x:c>
      <x:c r="K8" s="26" t="n">
        <x:v>-0.004705882503529411</x:v>
      </x:c>
      <x:c r="L8" s="26" t="n">
        <x:v>0.014509804385882352</x:v>
      </x:c>
      <x:c r="M8" s="26" t="n">
        <x:v>0.15865525393145705</x:v>
      </x:c>
      <x:c r="N8" s="26" t="n">
        <x:v>0.058823529411764705</x:v>
      </x:c>
      <x:c r="O8" s="26" t="n">
        <x:v>0.058823529411764705</x:v>
      </x:c>
      <x:c r="P8" s="26" t="n">
        <x:v>14</x:v>
      </x:c>
      <x:c r="Q8" s="26" t="n">
        <x:v>102</x:v>
      </x:c>
      <x:c r="R8" s="26" t="n">
        <x:v>102</x:v>
      </x:c>
      <x:c r="S8" s="26" t="n">
        <x:v>0.006410256410256407</x:v>
      </x:c>
      <x:c r="T8" s="26" t="n">
        <x:v>-0.020029856163741953</x:v>
      </x:c>
      <x:c r="U8" s="26" t="n">
        <x:v>0.032850368984254766</x:v>
      </x:c>
      <x:c r="V8" s="26" t="n">
        <x:v>0.3173254337693973</x:v>
      </x:c>
      <x:c r="W8" s="26" t="n">
        <x:v>0.012875458571428569</x:v>
      </x:c>
      <x:c r="X8" s="26" t="n">
        <x:v>-0.03995367779451381</x:v>
      </x:c>
      <x:c r="Y8" s="26" t="n">
        <x:v>0.06570459493737095</x:v>
      </x:c>
      <x:c r="Z8" s="26" t="n">
        <x:v>0.31643577737715944</x:v>
      </x:c>
      <x:c r="AA8" s="26" t="n">
        <x:v>0.07142857142857142</x:v>
      </x:c>
      <x:c r="AB8" s="26" t="n">
        <x:v>0.07142857142857142</x:v>
      </x:c>
      <x:c r="AC8" s="39" t="b">
        <x:v>1</x:v>
      </x:c>
      <x:c r="AD8" s="39" t="b">
        <x:v>0</x:v>
      </x:c>
      <x:c r="AE8" s="39" t="b">
        <x:v>0</x:v>
      </x:c>
      <x:c r="AF8" s="26" t="n">
        <x:v>0.002450980392156859</x:v>
      </x:c>
      <x:c r="AG8" s="26" t="n">
        <x:v>0.0049019609411764704</x:v>
      </x:c>
      <x:c r="AH8" s="26" t="n">
        <x:v>102</x:v>
      </x:c>
      <x:c r="AI8" s="26"/>
      <x:c r="AJ8" s="26" t="str">
        <x:v>결합 근거 부족</x:v>
      </x:c>
      <x:c r="AK8" s="27" t="str">
        <x:v>판매발생률·매출이 두 단독 방식보다 모두 높다는 조건을 충족하지 못함</x:v>
      </x:c>
    </x:row>
    <x:row r="9">
      <x:c r="A9" s="25" t="str">
        <x:v>GROCERY</x:v>
      </x:c>
      <x:c r="B9" s="26" t="str">
        <x:v>BLEACH</x:v>
      </x:c>
      <x:c r="C9" s="26" t="n">
        <x:v>27</x:v>
      </x:c>
      <x:c r="D9" s="26" t="n">
        <x:v>1367</x:v>
      </x:c>
      <x:c r="E9" s="26" t="n">
        <x:v>3915</x:v>
      </x:c>
      <x:c r="F9" s="26" t="n">
        <x:v>0.023588499873075118</x:v>
      </x:c>
      <x:c r="G9" s="26" t="n">
        <x:v>-0.01319374497879646</x:v>
      </x:c>
      <x:c r="H9" s="26" t="n">
        <x:v>0.0603707447249467</x:v>
      </x:c>
      <x:c r="I9" s="26" t="n">
        <x:v>0.10438578664668742</x:v>
      </x:c>
      <x:c r="J9" s="26" t="n">
        <x:v>0.10760547240740742</x:v>
      </x:c>
      <x:c r="K9" s="26" t="n">
        <x:v>-0.07408709801669666</x:v>
      </x:c>
      <x:c r="L9" s="26" t="n">
        <x:v>0.2892980428315115</x:v>
      </x:c>
      <x:c r="M9" s="26" t="n">
        <x:v>0.12286387127220985</x:v>
      </x:c>
      <x:c r="N9" s="26" t="n">
        <x:v>0.14814814814814814</x:v>
      </x:c>
      <x:c r="O9" s="26" t="n">
        <x:v>0.2222222222222222</x:v>
      </x:c>
      <x:c r="P9" s="26" t="n">
        <x:v>21</x:v>
      </x:c>
      <x:c r="Q9" s="26" t="n">
        <x:v>811</x:v>
      </x:c>
      <x:c r="R9" s="26" t="n">
        <x:v>945</x:v>
      </x:c>
      <x:c r="S9" s="26" t="n">
        <x:v>0.0005428785479936385</x:v>
      </x:c>
      <x:c r="T9" s="26" t="n">
        <x:v>-0.01250065172250131</x:v>
      </x:c>
      <x:c r="U9" s="26" t="n">
        <x:v>0.013586408818488587</x:v>
      </x:c>
      <x:c r="V9" s="26" t="n">
        <x:v>0.467491854169859</x:v>
      </x:c>
      <x:c r="W9" s="26" t="n">
        <x:v>0.0040200387619047625</x:v>
      </x:c>
      <x:c r="X9" s="26" t="n">
        <x:v>-0.032759286074981506</x:v>
      </x:c>
      <x:c r="Y9" s="26" t="n">
        <x:v>0.040799363598791036</x:v>
      </x:c>
      <x:c r="Z9" s="26" t="n">
        <x:v>0.415183414348362</x:v>
      </x:c>
      <x:c r="AA9" s="26" t="n">
        <x:v>0.14285714285714285</x:v>
      </x:c>
      <x:c r="AB9" s="26" t="n">
        <x:v>0.14285714285714285</x:v>
      </x:c>
      <x:c r="AC9" s="39" t="b">
        <x:v>1</x:v>
      </x:c>
      <x:c r="AD9" s="39" t="b">
        <x:v>0</x:v>
      </x:c>
      <x:c r="AE9" s="39" t="b">
        <x:v>0</x:v>
      </x:c>
      <x:c r="AF9" s="26" t="n">
        <x:v>0.0005428785479936385</x:v>
      </x:c>
      <x:c r="AG9" s="26" t="n">
        <x:v>0.0040200387619047625</x:v>
      </x:c>
      <x:c r="AH9" s="26" t="n">
        <x:v>945</x:v>
      </x:c>
      <x:c r="AI9" s="26"/>
      <x:c r="AJ9" s="26" t="str">
        <x:v>결합 근거 부족</x:v>
      </x:c>
      <x:c r="AK9" s="27" t="str">
        <x:v>판매발생률·매출이 두 단독 방식보다 모두 높다는 조건을 충족하지 못함</x:v>
      </x:c>
    </x:row>
    <x:row r="10">
      <x:c r="A10" s="25" t="str">
        <x:v>DRUG GM</x:v>
      </x:c>
      <x:c r="B10" s="26" t="str">
        <x:v>SUNTAN</x:v>
      </x:c>
      <x:c r="C10" s="26" t="n">
        <x:v>156</x:v>
      </x:c>
      <x:c r="D10" s="26" t="n">
        <x:v>3494</x:v>
      </x:c>
      <x:c r="E10" s="26" t="n">
        <x:v>7045</x:v>
      </x:c>
      <x:c r="F10" s="26" t="n">
        <x:v>-0.0010145454937100186</x:v>
      </x:c>
      <x:c r="G10" s="26" t="n">
        <x:v>-0.004957001990860908</x:v>
      </x:c>
      <x:c r="H10" s="26" t="n">
        <x:v>0.002927911003440871</x:v>
      </x:c>
      <x:c r="I10" s="26" t="n">
        <x:v>0.693003969939243</x:v>
      </x:c>
      <x:c r="J10" s="26" t="n">
        <x:v>0.002918440410256411</x:v>
      </x:c>
      <x:c r="K10" s="26" t="n">
        <x:v>-0.04784846153273967</x:v>
      </x:c>
      <x:c r="L10" s="26" t="n">
        <x:v>0.053685342353252494</x:v>
      </x:c>
      <x:c r="M10" s="26" t="n">
        <x:v>0.45514424749261495</x:v>
      </x:c>
      <x:c r="N10" s="26" t="n">
        <x:v>0.038461538461538464</x:v>
      </x:c>
      <x:c r="O10" s="26" t="n">
        <x:v>0.03205128205128205</x:v>
      </x:c>
      <x:c r="P10" s="26" t="n">
        <x:v>133</x:v>
      </x:c>
      <x:c r="Q10" s="26" t="n">
        <x:v>2953</x:v>
      </x:c>
      <x:c r="R10" s="26" t="n">
        <x:v>4917</x:v>
      </x:c>
      <x:c r="S10" s="26" t="n">
        <x:v>0.006806629650490647</x:v>
      </x:c>
      <x:c r="T10" s="26" t="n">
        <x:v>-0.008131851572316516</x:v>
      </x:c>
      <x:c r="U10" s="26" t="n">
        <x:v>0.02174511087329781</x:v>
      </x:c>
      <x:c r="V10" s="26" t="n">
        <x:v>0.18591191042646302</x:v>
      </x:c>
      <x:c r="W10" s="26" t="n">
        <x:v>0.14442541514285712</x:v>
      </x:c>
      <x:c r="X10" s="26" t="n">
        <x:v>-0.15837947415828035</x:v>
      </x:c>
      <x:c r="Y10" s="26" t="n">
        <x:v>0.4472303044439946</x:v>
      </x:c>
      <x:c r="Z10" s="26" t="n">
        <x:v>0.17493564402596368</x:v>
      </x:c>
      <x:c r="AA10" s="26" t="n">
        <x:v>0.06766917293233082</x:v>
      </x:c>
      <x:c r="AB10" s="26" t="n">
        <x:v>0.06766917293233082</x:v>
      </x:c>
      <x:c r="AC10" s="39" t="b">
        <x:v>1</x:v>
      </x:c>
      <x:c r="AD10" s="39" t="b">
        <x:v>0</x:v>
      </x:c>
      <x:c r="AE10" s="39" t="b">
        <x:v>0</x:v>
      </x:c>
      <x:c r="AF10" s="26" t="n">
        <x:v>-0.0010145454937100186</x:v>
      </x:c>
      <x:c r="AG10" s="26" t="n">
        <x:v>0.002918440410256411</x:v>
      </x:c>
      <x:c r="AH10" s="26" t="n">
        <x:v>4917</x:v>
      </x:c>
      <x:c r="AI10" s="26"/>
      <x:c r="AJ10" s="26" t="str">
        <x:v>결합 근거 부족</x:v>
      </x:c>
      <x:c r="AK10" s="27" t="str">
        <x:v>판매발생률·매출이 두 단독 방식보다 모두 높다는 조건을 충족하지 못함</x:v>
      </x:c>
    </x:row>
    <x:row r="11">
      <x:c r="A11" s="25" t="str">
        <x:v>GROCERY</x:v>
      </x:c>
      <x:c r="B11" s="26" t="str">
        <x:v>SNACK NUTS</x:v>
      </x:c>
      <x:c r="C11" s="26" t="n">
        <x:v>32</x:v>
      </x:c>
      <x:c r="D11" s="26" t="n">
        <x:v>1304</x:v>
      </x:c>
      <x:c r="E11" s="26" t="n">
        <x:v>2687</x:v>
      </x:c>
      <x:c r="F11" s="26" t="n">
        <x:v>0.004837488415600497</x:v>
      </x:c>
      <x:c r="G11" s="26" t="n">
        <x:v>-0.007048012906096469</x:v>
      </x:c>
      <x:c r="H11" s="26" t="n">
        <x:v>0.016722989737297463</x:v>
      </x:c>
      <x:c r="I11" s="26" t="n">
        <x:v>0.21251221997158343</x:v>
      </x:c>
      <x:c r="J11" s="26" t="n">
        <x:v>0.0027900124062500004</x:v>
      </x:c>
      <x:c r="K11" s="26" t="n">
        <x:v>-0.015130256451840376</x:v>
      </x:c>
      <x:c r="L11" s="26" t="n">
        <x:v>0.020710281264340377</x:v>
      </x:c>
      <x:c r="M11" s="26" t="n">
        <x:v>0.38012480246557717</x:v>
      </x:c>
      <x:c r="N11" s="26" t="n">
        <x:v>0.125</x:v>
      </x:c>
      <x:c r="O11" s="26" t="n">
        <x:v>0.09375</x:v>
      </x:c>
      <x:c r="P11" s="26" t="n">
        <x:v>21</x:v>
      </x:c>
      <x:c r="Q11" s="26" t="n">
        <x:v>736</x:v>
      </x:c>
      <x:c r="R11" s="26" t="n">
        <x:v>1002</x:v>
      </x:c>
      <x:c r="S11" s="26" t="n">
        <x:v>0.004058698503142937</x:v>
      </x:c>
      <x:c r="T11" s="26" t="n">
        <x:v>-0.0012351564761166672</x:v>
      </x:c>
      <x:c r="U11" s="26" t="n">
        <x:v>0.009352553482402541</x:v>
      </x:c>
      <x:c r="V11" s="26" t="n">
        <x:v>0.0664588646682014</x:v>
      </x:c>
      <x:c r="W11" s="26" t="n">
        <x:v>0.008247411076190477</x:v>
      </x:c>
      <x:c r="X11" s="26" t="n">
        <x:v>-0.003954461286908613</x:v>
      </x:c>
      <x:c r="Y11" s="26" t="n">
        <x:v>0.02044928343928957</x:v>
      </x:c>
      <x:c r="Z11" s="26" t="n">
        <x:v>0.0926203080583533</x:v>
      </x:c>
      <x:c r="AA11" s="26" t="n">
        <x:v>0.19047619047619047</x:v>
      </x:c>
      <x:c r="AB11" s="26" t="n">
        <x:v>0.19047619047619047</x:v>
      </x:c>
      <x:c r="AC11" s="39" t="b">
        <x:v>1</x:v>
      </x:c>
      <x:c r="AD11" s="39" t="b">
        <x:v>0</x:v>
      </x:c>
      <x:c r="AE11" s="39" t="b">
        <x:v>0</x:v>
      </x:c>
      <x:c r="AF11" s="26" t="n">
        <x:v>0.004058698503142937</x:v>
      </x:c>
      <x:c r="AG11" s="26" t="n">
        <x:v>0.0027900124062500004</x:v>
      </x:c>
      <x:c r="AH11" s="26" t="n">
        <x:v>1002</x:v>
      </x:c>
      <x:c r="AI11" s="26"/>
      <x:c r="AJ11" s="26" t="str">
        <x:v>결합 근거 부족</x:v>
      </x:c>
      <x:c r="AK11" s="27" t="str">
        <x:v>판매발생률·매출이 두 단독 방식보다 모두 높다는 조건을 충족하지 못함</x:v>
      </x:c>
    </x:row>
    <x:row r="12">
      <x:c r="A12" s="25" t="str">
        <x:v>GROCERY</x:v>
      </x:c>
      <x:c r="B12" s="26" t="str">
        <x:v>PWDR/CRYSTL DRNK MX</x:v>
      </x:c>
      <x:c r="C12" s="26" t="n">
        <x:v>60</x:v>
      </x:c>
      <x:c r="D12" s="26" t="n">
        <x:v>1918</x:v>
      </x:c>
      <x:c r="E12" s="26" t="n">
        <x:v>3044</x:v>
      </x:c>
      <x:c r="F12" s="26" t="n">
        <x:v>0.018600200919231407</x:v>
      </x:c>
      <x:c r="G12" s="26" t="n">
        <x:v>-0.01448371722109441</x:v>
      </x:c>
      <x:c r="H12" s="26" t="n">
        <x:v>0.05168411905955722</x:v>
      </x:c>
      <x:c r="I12" s="26" t="n">
        <x:v>0.13524452882241708</x:v>
      </x:c>
      <x:c r="J12" s="26" t="n">
        <x:v>0.022686886305</x:v>
      </x:c>
      <x:c r="K12" s="26" t="n">
        <x:v>-0.029035808212885483</x:v>
      </x:c>
      <x:c r="L12" s="26" t="n">
        <x:v>0.07440958082288548</x:v>
      </x:c>
      <x:c r="M12" s="26" t="n">
        <x:v>0.19497563604503346</x:v>
      </x:c>
      <x:c r="N12" s="26" t="n">
        <x:v>0.2</x:v>
      </x:c>
      <x:c r="O12" s="26" t="n">
        <x:v>0.2</x:v>
      </x:c>
      <x:c r="P12" s="26" t="n">
        <x:v>46</x:v>
      </x:c>
      <x:c r="Q12" s="26" t="n">
        <x:v>1156</x:v>
      </x:c>
      <x:c r="R12" s="26" t="n">
        <x:v>1845</x:v>
      </x:c>
      <x:c r="S12" s="26" t="n">
        <x:v>0.0014202269648523715</x:v>
      </x:c>
      <x:c r="T12" s="26" t="n">
        <x:v>-0.0012355797087967144</x:v>
      </x:c>
      <x:c r="U12" s="26" t="n">
        <x:v>0.004076033638501457</x:v>
      </x:c>
      <x:c r="V12" s="26" t="n">
        <x:v>0.14728812630463986</x:v>
      </x:c>
      <x:c r="W12" s="26" t="n">
        <x:v>0.0006662679347826088</x:v>
      </x:c>
      <x:c r="X12" s="26" t="n">
        <x:v>-0.006227745228862124</x:v>
      </x:c>
      <x:c r="Y12" s="26" t="n">
        <x:v>0.007560281098427342</x:v>
      </x:c>
      <x:c r="Z12" s="26" t="n">
        <x:v>0.4248806214600054</x:v>
      </x:c>
      <x:c r="AA12" s="26" t="n">
        <x:v>0.15217391304347827</x:v>
      </x:c>
      <x:c r="AB12" s="26" t="n">
        <x:v>0.15217391304347827</x:v>
      </x:c>
      <x:c r="AC12" s="39" t="b">
        <x:v>1</x:v>
      </x:c>
      <x:c r="AD12" s="39" t="b">
        <x:v>0</x:v>
      </x:c>
      <x:c r="AE12" s="39" t="b">
        <x:v>0</x:v>
      </x:c>
      <x:c r="AF12" s="26" t="n">
        <x:v>0.0014202269648523715</x:v>
      </x:c>
      <x:c r="AG12" s="26" t="n">
        <x:v>0.0006662679347826088</x:v>
      </x:c>
      <x:c r="AH12" s="26" t="n">
        <x:v>1845</x:v>
      </x:c>
      <x:c r="AI12" s="26"/>
      <x:c r="AJ12" s="26" t="str">
        <x:v>결합 근거 부족</x:v>
      </x:c>
      <x:c r="AK12" s="27" t="str">
        <x:v>판매발생률·매출이 두 단독 방식보다 모두 높다는 조건을 충족하지 못함</x:v>
      </x:c>
    </x:row>
    <x:row r="13">
      <x:c r="A13" s="25" t="str">
        <x:v>GROCERY</x:v>
      </x:c>
      <x:c r="B13" s="26" t="str">
        <x:v>FROZEN CHICKEN</x:v>
      </x:c>
      <x:c r="C13" s="26" t="n">
        <x:v>13</x:v>
      </x:c>
      <x:c r="D13" s="26" t="n">
        <x:v>311</x:v>
      </x:c>
      <x:c r="E13" s="26" t="n">
        <x:v>413</x:v>
      </x:c>
      <x:c r="F13" s="26" t="n">
        <x:v>0.0017894835708600844</x:v>
      </x:c>
      <x:c r="G13" s="26" t="n">
        <x:v>-0.028181350880969992</x:v>
      </x:c>
      <x:c r="H13" s="26" t="n">
        <x:v>0.03176031802269016</x:v>
      </x:c>
      <x:c r="I13" s="26" t="n">
        <x:v>0.4534194483596912</x:v>
      </x:c>
      <x:c r="J13" s="26" t="n">
        <x:v>0.0006438984615384588</x:v>
      </x:c>
      <x:c r="K13" s="26" t="n">
        <x:v>-0.24029339426815938</x:v>
      </x:c>
      <x:c r="L13" s="26" t="n">
        <x:v>0.24158119119123628</x:v>
      </x:c>
      <x:c r="M13" s="26" t="n">
        <x:v>0.49791033093997644</x:v>
      </x:c>
      <x:c r="N13" s="26" t="n">
        <x:v>0.23076923076923078</x:v>
      </x:c>
      <x:c r="O13" s="26" t="n">
        <x:v>0.23076923076923078</x:v>
      </x:c>
      <x:c r="P13" s="26" t="n">
        <x:v>10</x:v>
      </x:c>
      <x:c r="Q13" s="26" t="n">
        <x:v>316</x:v>
      </x:c>
      <x:c r="R13" s="26" t="n">
        <x:v>444</x:v>
      </x:c>
      <x:c r="S13" s="26" t="n">
        <x:v>0.0027459267903496504</x:v>
      </x:c>
      <x:c r="T13" s="26" t="n">
        <x:v>-0.009739137684967342</x:v>
      </x:c>
      <x:c r="U13" s="26" t="n">
        <x:v>0.01523099126566664</x:v>
      </x:c>
      <x:c r="V13" s="26" t="n">
        <x:v>0.3332064139799844</x:v>
      </x:c>
      <x:c r="W13" s="26" t="n">
        <x:v>0.007109414000000003</x:v>
      </x:c>
      <x:c r="X13" s="26" t="n">
        <x:v>-0.07592948845008803</x:v>
      </x:c>
      <x:c r="Y13" s="26" t="n">
        <x:v>0.09014831645008804</x:v>
      </x:c>
      <x:c r="Z13" s="26" t="n">
        <x:v>0.4333678308534066</x:v>
      </x:c>
      <x:c r="AA13" s="26" t="n">
        <x:v>0.3</x:v>
      </x:c>
      <x:c r="AB13" s="26" t="n">
        <x:v>0.3</x:v>
      </x:c>
      <x:c r="AC13" s="39" t="b">
        <x:v>1</x:v>
      </x:c>
      <x:c r="AD13" s="39" t="b">
        <x:v>0</x:v>
      </x:c>
      <x:c r="AE13" s="39" t="b">
        <x:v>0</x:v>
      </x:c>
      <x:c r="AF13" s="26" t="n">
        <x:v>0.0017894835708600844</x:v>
      </x:c>
      <x:c r="AG13" s="26" t="n">
        <x:v>0.0006438984615384588</x:v>
      </x:c>
      <x:c r="AH13" s="26" t="n">
        <x:v>413</x:v>
      </x:c>
      <x:c r="AI13" s="26"/>
      <x:c r="AJ13" s="26" t="str">
        <x:v>결합 근거 부족</x:v>
      </x:c>
      <x:c r="AK13" s="27" t="str">
        <x:v>판매발생률·매출이 두 단독 방식보다 모두 높다는 조건을 충족하지 못함</x:v>
      </x:c>
    </x:row>
    <x:row r="14">
      <x:c r="A14" s="25" t="str">
        <x:v>DRUG GM</x:v>
      </x:c>
      <x:c r="B14" s="26" t="str">
        <x:v>VITAMINS</x:v>
      </x:c>
      <x:c r="C14" s="26" t="n">
        <x:v>349</x:v>
      </x:c>
      <x:c r="D14" s="26" t="n">
        <x:v>5834</x:v>
      </x:c>
      <x:c r="E14" s="26" t="n">
        <x:v>12475</x:v>
      </x:c>
      <x:c r="F14" s="26" t="n">
        <x:v>0.0007450456463513627</x:v>
      </x:c>
      <x:c r="G14" s="26" t="n">
        <x:v>-0.0005495337386057095</x:v>
      </x:c>
      <x:c r="H14" s="26" t="n">
        <x:v>0.0020396250313084348</x:v>
      </x:c>
      <x:c r="I14" s="26" t="n">
        <x:v>0.1296593200705805</x:v>
      </x:c>
      <x:c r="J14" s="26" t="n">
        <x:v>0.00023181418338108923</x:v>
      </x:c>
      <x:c r="K14" s="26" t="n">
        <x:v>-0.009586390753500082</x:v>
      </x:c>
      <x:c r="L14" s="26" t="n">
        <x:v>0.010050019120262259</x:v>
      </x:c>
      <x:c r="M14" s="26" t="n">
        <x:v>0.4815447870694436</x:v>
      </x:c>
      <x:c r="N14" s="26" t="n">
        <x:v>0.04011461318051576</x:v>
      </x:c>
      <x:c r="O14" s="26" t="n">
        <x:v>0.04011461318051576</x:v>
      </x:c>
      <x:c r="P14" s="26" t="n">
        <x:v>257</x:v>
      </x:c>
      <x:c r="Q14" s="26" t="n">
        <x:v>2402</x:v>
      </x:c>
      <x:c r="R14" s="26" t="n">
        <x:v>3018</x:v>
      </x:c>
      <x:c r="S14" s="26" t="n">
        <x:v>0.0014063513833122681</x:v>
      </x:c>
      <x:c r="T14" s="26" t="n">
        <x:v>-0.001190395931694757</x:v>
      </x:c>
      <x:c r="U14" s="26" t="n">
        <x:v>0.004003098698319293</x:v>
      </x:c>
      <x:c r="V14" s="26" t="n">
        <x:v>0.14423124083023967</x:v>
      </x:c>
      <x:c r="W14" s="26" t="n">
        <x:v>0.012978899221789884</x:v>
      </x:c>
      <x:c r="X14" s="26" t="n">
        <x:v>-0.012632065718387507</x:v>
      </x:c>
      <x:c r="Y14" s="26" t="n">
        <x:v>0.038589864161967274</x:v>
      </x:c>
      <x:c r="Z14" s="26" t="n">
        <x:v>0.16028882256975632</x:v>
      </x:c>
      <x:c r="AA14" s="26" t="n">
        <x:v>0.019455252918287938</x:v>
      </x:c>
      <x:c r="AB14" s="26" t="n">
        <x:v>0.019455252918287938</x:v>
      </x:c>
      <x:c r="AC14" s="39" t="b">
        <x:v>1</x:v>
      </x:c>
      <x:c r="AD14" s="39" t="b">
        <x:v>0</x:v>
      </x:c>
      <x:c r="AE14" s="39" t="b">
        <x:v>0</x:v>
      </x:c>
      <x:c r="AF14" s="26" t="n">
        <x:v>0.0007450456463513627</x:v>
      </x:c>
      <x:c r="AG14" s="26" t="n">
        <x:v>0.00023181418338108923</x:v>
      </x:c>
      <x:c r="AH14" s="26" t="n">
        <x:v>3018</x:v>
      </x:c>
      <x:c r="AI14" s="26"/>
      <x:c r="AJ14" s="26" t="str">
        <x:v>결합 근거 부족</x:v>
      </x:c>
      <x:c r="AK14" s="27" t="str">
        <x:v>판매발생률·매출이 두 단독 방식보다 모두 높다는 조건을 충족하지 못함</x:v>
      </x:c>
    </x:row>
    <x:row r="15">
      <x:c r="A15" s="25" t="str">
        <x:v>COSMETICS</x:v>
      </x:c>
      <x:c r="B15" s="26" t="str">
        <x:v>COSMETIC ACCESSORIES</x:v>
      </x:c>
      <x:c r="C15" s="26" t="n">
        <x:v>7</x:v>
      </x:c>
      <x:c r="D15" s="26" t="n">
        <x:v>71</x:v>
      </x:c>
      <x:c r="E15" s="26" t="n">
        <x:v>90</x:v>
      </x:c>
      <x:c r="F15" s="26" t="n">
        <x:v>0.0020292207792207717</x:v>
      </x:c>
      <x:c r="G15" s="26" t="n">
        <x:v>-0.014574007316411468</x:v>
      </x:c>
      <x:c r="H15" s="26" t="n">
        <x:v>0.018632448874853012</x:v>
      </x:c>
      <x:c r="I15" s="26" t="n">
        <x:v>0.40534027879001133</x:v>
      </x:c>
      <x:c r="J15" s="26" t="n">
        <x:v>0.01012581</x:v>
      </x:c>
      <x:c r="K15" s="26" t="n">
        <x:v>-0.07272429536995598</x:v>
      </x:c>
      <x:c r="L15" s="26" t="n">
        <x:v>0.09297591536995597</x:v>
      </x:c>
      <x:c r="M15" s="26" t="n">
        <x:v>0.40534029110443154</x:v>
      </x:c>
      <x:c r="N15" s="26" t="n">
        <x:v>0.14285714285714285</x:v>
      </x:c>
      <x:c r="O15" s="26" t="n">
        <x:v>0.14285714285714285</x:v>
      </x:c>
      <x:c r="P15" s="26" t="n">
        <x:v>2</x:v>
      </x:c>
      <x:c r="Q15" s="26" t="n">
        <x:v>3</x:v>
      </x:c>
      <x:c r="R15" s="26" t="n">
        <x:v>3</x:v>
      </x:c>
      <x:c r="S15" s="26" t="n">
        <x:v>0</x:v>
      </x:c>
      <x:c r="T15" s="26" t="n">
        <x:v>0</x:v>
      </x:c>
      <x:c r="U15" s="26" t="n">
        <x:v>0</x:v>
      </x:c>
      <x:c r="V15" s="26" t="n">
        <x:v>0.5</x:v>
      </x:c>
      <x:c r="W15" s="26" t="n">
        <x:v>0</x:v>
      </x:c>
      <x:c r="X15" s="26" t="n">
        <x:v>0</x:v>
      </x:c>
      <x:c r="Y15" s="26" t="n">
        <x:v>0</x:v>
      </x:c>
      <x:c r="Z15" s="26" t="n">
        <x:v>0.5</x:v>
      </x:c>
      <x:c r="AA15" s="26" t="n">
        <x:v>0</x:v>
      </x:c>
      <x:c r="AB15" s="26" t="n">
        <x:v>0</x:v>
      </x:c>
      <x:c r="AC15" s="39" t="b">
        <x:v>1</x:v>
      </x:c>
      <x:c r="AD15" s="39" t="b">
        <x:v>0</x:v>
      </x:c>
      <x:c r="AE15" s="39" t="b">
        <x:v>0</x:v>
      </x:c>
      <x:c r="AF15" s="26" t="n">
        <x:v>0</x:v>
      </x:c>
      <x:c r="AG15" s="26" t="n">
        <x:v>0</x:v>
      </x:c>
      <x:c r="AH15" s="26" t="n">
        <x:v>3</x:v>
      </x:c>
      <x:c r="AI15" s="26"/>
      <x:c r="AJ15" s="26" t="str">
        <x:v>결합 근거 부족</x:v>
      </x:c>
      <x:c r="AK15" s="27" t="str">
        <x:v>판매발생률·매출이 두 단독 방식보다 모두 높다는 조건을 충족하지 못함</x:v>
      </x:c>
    </x:row>
    <x:row r="16">
      <x:c r="A16" s="25" t="str">
        <x:v>DRUG GM</x:v>
      </x:c>
      <x:c r="B16" s="26" t="str">
        <x:v>ANTACIDS</x:v>
      </x:c>
      <x:c r="C16" s="26" t="n">
        <x:v>88</x:v>
      </x:c>
      <x:c r="D16" s="26" t="n">
        <x:v>1070</x:v>
      </x:c>
      <x:c r="E16" s="26" t="n">
        <x:v>1629</x:v>
      </x:c>
      <x:c r="F16" s="26" t="n">
        <x:v>0.002342973721266389</x:v>
      </x:c>
      <x:c r="G16" s="26" t="n">
        <x:v>-0.002414237523653872</x:v>
      </x:c>
      <x:c r="H16" s="26" t="n">
        <x:v>0.0071001849661866505</x:v>
      </x:c>
      <x:c r="I16" s="26" t="n">
        <x:v>0.16719241894269996</x:v>
      </x:c>
      <x:c r="J16" s="26" t="n">
        <x:v>0.007896273147727272</x:v>
      </x:c>
      <x:c r="K16" s="26" t="n">
        <x:v>-0.008507151811645798</x:v>
      </x:c>
      <x:c r="L16" s="26" t="n">
        <x:v>0.024299698107100344</x:v>
      </x:c>
      <x:c r="M16" s="26" t="n">
        <x:v>0.17271161153264994</x:v>
      </x:c>
      <x:c r="N16" s="26" t="n">
        <x:v>0.056818181818181816</x:v>
      </x:c>
      <x:c r="O16" s="26" t="n">
        <x:v>0.056818181818181816</x:v>
      </x:c>
      <x:c r="P16" s="26" t="n">
        <x:v>24</x:v>
      </x:c>
      <x:c r="Q16" s="26" t="n">
        <x:v>303</x:v>
      </x:c>
      <x:c r="R16" s="26" t="n">
        <x:v>304</x:v>
      </x:c>
      <x:c r="S16" s="26" t="n">
        <x:v>0</x:v>
      </x:c>
      <x:c r="T16" s="26" t="n">
        <x:v>0</x:v>
      </x:c>
      <x:c r="U16" s="26" t="n">
        <x:v>0</x:v>
      </x:c>
      <x:c r="V16" s="26" t="n">
        <x:v>0.5</x:v>
      </x:c>
      <x:c r="W16" s="26" t="n">
        <x:v>0</x:v>
      </x:c>
      <x:c r="X16" s="26" t="n">
        <x:v>0</x:v>
      </x:c>
      <x:c r="Y16" s="26" t="n">
        <x:v>0</x:v>
      </x:c>
      <x:c r="Z16" s="26" t="n">
        <x:v>0.5</x:v>
      </x:c>
      <x:c r="AA16" s="26" t="n">
        <x:v>0</x:v>
      </x:c>
      <x:c r="AB16" s="26" t="n">
        <x:v>0</x:v>
      </x:c>
      <x:c r="AC16" s="39" t="b">
        <x:v>1</x:v>
      </x:c>
      <x:c r="AD16" s="39" t="b">
        <x:v>0</x:v>
      </x:c>
      <x:c r="AE16" s="39" t="b">
        <x:v>0</x:v>
      </x:c>
      <x:c r="AF16" s="26" t="n">
        <x:v>0</x:v>
      </x:c>
      <x:c r="AG16" s="26" t="n">
        <x:v>0</x:v>
      </x:c>
      <x:c r="AH16" s="26" t="n">
        <x:v>304</x:v>
      </x:c>
      <x:c r="AI16" s="26"/>
      <x:c r="AJ16" s="26" t="str">
        <x:v>결합 근거 부족</x:v>
      </x:c>
      <x:c r="AK16" s="27" t="str">
        <x:v>판매발생률·매출이 두 단독 방식보다 모두 높다는 조건을 충족하지 못함</x:v>
      </x:c>
    </x:row>
    <x:row r="17">
      <x:c r="A17" s="25" t="str">
        <x:v>DRUG GM</x:v>
      </x:c>
      <x:c r="B17" s="26" t="str">
        <x:v>APPAREL</x:v>
      </x:c>
      <x:c r="C17" s="26" t="n">
        <x:v>21</x:v>
      </x:c>
      <x:c r="D17" s="26" t="n">
        <x:v>80</x:v>
      </x:c>
      <x:c r="E17" s="26" t="n">
        <x:v>104</x:v>
      </x:c>
      <x:c r="F17" s="26" t="n">
        <x:v>0.0025062656641604</x:v>
      </x:c>
      <x:c r="G17" s="26" t="n">
        <x:v>-0.0024060150375939827</x:v>
      </x:c>
      <x:c r="H17" s="26" t="n">
        <x:v>0.007418546365914783</x:v>
      </x:c>
      <x:c r="I17" s="26" t="n">
        <x:v>0.158655253931457</x:v>
      </x:c>
      <x:c r="J17" s="26" t="n">
        <x:v>0.005012531428571428</x:v>
      </x:c>
      <x:c r="K17" s="26" t="n">
        <x:v>-0.00481203017142857</x:v>
      </x:c>
      <x:c r="L17" s="26" t="n">
        <x:v>0.014837093028571426</x:v>
      </x:c>
      <x:c r="M17" s="26" t="n">
        <x:v>0.15865525393145705</x:v>
      </x:c>
      <x:c r="N17" s="26" t="n">
        <x:v>0.047619047619047616</x:v>
      </x:c>
      <x:c r="O17" s="26" t="n">
        <x:v>0.047619047619047616</x:v>
      </x:c>
      <x:c r="P17" s="26" t="n">
        <x:v>18</x:v>
      </x:c>
      <x:c r="Q17" s="26" t="n">
        <x:v>41</x:v>
      </x:c>
      <x:c r="R17" s="26" t="n">
        <x:v>50</x:v>
      </x:c>
      <x:c r="S17" s="26" t="n">
        <x:v>0</x:v>
      </x:c>
      <x:c r="T17" s="26" t="n">
        <x:v>0</x:v>
      </x:c>
      <x:c r="U17" s="26" t="n">
        <x:v>0</x:v>
      </x:c>
      <x:c r="V17" s="26" t="n">
        <x:v>0.5</x:v>
      </x:c>
      <x:c r="W17" s="26" t="n">
        <x:v>0</x:v>
      </x:c>
      <x:c r="X17" s="26" t="n">
        <x:v>0</x:v>
      </x:c>
      <x:c r="Y17" s="26" t="n">
        <x:v>0</x:v>
      </x:c>
      <x:c r="Z17" s="26" t="n">
        <x:v>0.5</x:v>
      </x:c>
      <x:c r="AA17" s="26" t="n">
        <x:v>0</x:v>
      </x:c>
      <x:c r="AB17" s="26" t="n">
        <x:v>0</x:v>
      </x:c>
      <x:c r="AC17" s="39" t="b">
        <x:v>1</x:v>
      </x:c>
      <x:c r="AD17" s="39" t="b">
        <x:v>0</x:v>
      </x:c>
      <x:c r="AE17" s="39" t="b">
        <x:v>0</x:v>
      </x:c>
      <x:c r="AF17" s="26" t="n">
        <x:v>0</x:v>
      </x:c>
      <x:c r="AG17" s="26" t="n">
        <x:v>0</x:v>
      </x:c>
      <x:c r="AH17" s="26" t="n">
        <x:v>50</x:v>
      </x:c>
      <x:c r="AI17" s="26"/>
      <x:c r="AJ17" s="26" t="str">
        <x:v>결합 근거 부족</x:v>
      </x:c>
      <x:c r="AK17" s="27" t="str">
        <x:v>판매발생률·매출이 두 단독 방식보다 모두 높다는 조건을 충족하지 못함</x:v>
      </x:c>
    </x:row>
    <x:row r="18">
      <x:c r="A18" s="25" t="str">
        <x:v>DRUG GM</x:v>
      </x:c>
      <x:c r="B18" s="26" t="str">
        <x:v>AUDIO/VIDEO PRODUCTS</x:v>
      </x:c>
      <x:c r="C18" s="26" t="n">
        <x:v>92</x:v>
      </x:c>
      <x:c r="D18" s="26" t="n">
        <x:v>262</x:v>
      </x:c>
      <x:c r="E18" s="26" t="n">
        <x:v>292</x:v>
      </x:c>
      <x:c r="F18" s="26" t="n">
        <x:v>0.007139328063241106</x:v>
      </x:c>
      <x:c r="G18" s="26" t="n">
        <x:v>-0.01826515389698144</x:v>
      </x:c>
      <x:c r="H18" s="26" t="n">
        <x:v>0.032543810023463654</x:v>
      </x:c>
      <x:c r="I18" s="26" t="n">
        <x:v>0.2908814204440976</x:v>
      </x:c>
      <x:c r="J18" s="26" t="n">
        <x:v>0.13078581847826085</x:v>
      </x:c>
      <x:c r="K18" s="26" t="n">
        <x:v>-0.3645542980902382</x:v>
      </x:c>
      <x:c r="L18" s="26" t="n">
        <x:v>0.62612593504676</x:v>
      </x:c>
      <x:c r="M18" s="26" t="n">
        <x:v>0.3024023911960041</x:v>
      </x:c>
      <x:c r="N18" s="26" t="n">
        <x:v>0.043478260869565216</x:v>
      </x:c>
      <x:c r="O18" s="26" t="n">
        <x:v>0.043478260869565216</x:v>
      </x:c>
      <x:c r="P18" s="26" t="n">
        <x:v>25</x:v>
      </x:c>
      <x:c r="Q18" s="26" t="n">
        <x:v>81</x:v>
      </x:c>
      <x:c r="R18" s="26" t="n">
        <x:v>82</x:v>
      </x:c>
      <x:c r="S18" s="26" t="n">
        <x:v>0</x:v>
      </x:c>
      <x:c r="T18" s="26" t="n">
        <x:v>0</x:v>
      </x:c>
      <x:c r="U18" s="26" t="n">
        <x:v>0</x:v>
      </x:c>
      <x:c r="V18" s="26" t="n">
        <x:v>0.5</x:v>
      </x:c>
      <x:c r="W18" s="26" t="n">
        <x:v>0</x:v>
      </x:c>
      <x:c r="X18" s="26" t="n">
        <x:v>0</x:v>
      </x:c>
      <x:c r="Y18" s="26" t="n">
        <x:v>0</x:v>
      </x:c>
      <x:c r="Z18" s="26" t="n">
        <x:v>0.5</x:v>
      </x:c>
      <x:c r="AA18" s="26" t="n">
        <x:v>0</x:v>
      </x:c>
      <x:c r="AB18" s="26" t="n">
        <x:v>0</x:v>
      </x:c>
      <x:c r="AC18" s="39" t="b">
        <x:v>1</x:v>
      </x:c>
      <x:c r="AD18" s="39" t="b">
        <x:v>0</x:v>
      </x:c>
      <x:c r="AE18" s="39" t="b">
        <x:v>0</x:v>
      </x:c>
      <x:c r="AF18" s="26" t="n">
        <x:v>0</x:v>
      </x:c>
      <x:c r="AG18" s="26" t="n">
        <x:v>0</x:v>
      </x:c>
      <x:c r="AH18" s="26" t="n">
        <x:v>82</x:v>
      </x:c>
      <x:c r="AI18" s="26"/>
      <x:c r="AJ18" s="26" t="str">
        <x:v>결합 근거 부족</x:v>
      </x:c>
      <x:c r="AK18" s="27" t="str">
        <x:v>판매발생률·매출이 두 단독 방식보다 모두 높다는 조건을 충족하지 못함</x:v>
      </x:c>
    </x:row>
    <x:row r="19">
      <x:c r="A19" s="25" t="str">
        <x:v>DRUG GM</x:v>
      </x:c>
      <x:c r="B19" s="26" t="str">
        <x:v>BROOMS AND MOPS</x:v>
      </x:c>
      <x:c r="C19" s="26" t="n">
        <x:v>39</x:v>
      </x:c>
      <x:c r="D19" s="26" t="n">
        <x:v>405</x:v>
      </x:c>
      <x:c r="E19" s="26" t="n">
        <x:v>463</x:v>
      </x:c>
      <x:c r="F19" s="26" t="n">
        <x:v>0.00384156690060089</x:v>
      </x:c>
      <x:c r="G19" s="26" t="n">
        <x:v>-0.002970498534049908</x:v>
      </x:c>
      <x:c r="H19" s="26" t="n">
        <x:v>0.010653632335251687</x:v>
      </x:c>
      <x:c r="I19" s="26" t="n">
        <x:v>0.13451178219323254</x:v>
      </x:c>
      <x:c r="J19" s="26" t="n">
        <x:v>0.0069283518974358966</x:v>
      </x:c>
      <x:c r="K19" s="26" t="n">
        <x:v>-0.00580451831150517</x:v>
      </x:c>
      <x:c r="L19" s="26" t="n">
        <x:v>0.019661222106376962</x:v>
      </x:c>
      <x:c r="M19" s="26" t="n">
        <x:v>0.14309948441584067</x:v>
      </x:c>
      <x:c r="N19" s="26" t="n">
        <x:v>0.05128205128205128</x:v>
      </x:c>
      <x:c r="O19" s="26" t="n">
        <x:v>0.05128205128205128</x:v>
      </x:c>
      <x:c r="P19" s="26" t="n">
        <x:v>15</x:v>
      </x:c>
      <x:c r="Q19" s="26" t="n">
        <x:v>83</x:v>
      </x:c>
      <x:c r="R19" s="26" t="n">
        <x:v>96</x:v>
      </x:c>
      <x:c r="S19" s="26" t="n">
        <x:v>0</x:v>
      </x:c>
      <x:c r="T19" s="26" t="n">
        <x:v>0</x:v>
      </x:c>
      <x:c r="U19" s="26" t="n">
        <x:v>0</x:v>
      </x:c>
      <x:c r="V19" s="26" t="n">
        <x:v>0.5</x:v>
      </x:c>
      <x:c r="W19" s="26" t="n">
        <x:v>0</x:v>
      </x:c>
      <x:c r="X19" s="26" t="n">
        <x:v>0</x:v>
      </x:c>
      <x:c r="Y19" s="26" t="n">
        <x:v>0</x:v>
      </x:c>
      <x:c r="Z19" s="26" t="n">
        <x:v>0.5</x:v>
      </x:c>
      <x:c r="AA19" s="26" t="n">
        <x:v>0</x:v>
      </x:c>
      <x:c r="AB19" s="26" t="n">
        <x:v>0</x:v>
      </x:c>
      <x:c r="AC19" s="39" t="b">
        <x:v>1</x:v>
      </x:c>
      <x:c r="AD19" s="39" t="b">
        <x:v>0</x:v>
      </x:c>
      <x:c r="AE19" s="39" t="b">
        <x:v>0</x:v>
      </x:c>
      <x:c r="AF19" s="26" t="n">
        <x:v>0</x:v>
      </x:c>
      <x:c r="AG19" s="26" t="n">
        <x:v>0</x:v>
      </x:c>
      <x:c r="AH19" s="26" t="n">
        <x:v>96</x:v>
      </x:c>
      <x:c r="AI19" s="26"/>
      <x:c r="AJ19" s="26" t="str">
        <x:v>결합 근거 부족</x:v>
      </x:c>
      <x:c r="AK19" s="27" t="str">
        <x:v>판매발생률·매출이 두 단독 방식보다 모두 높다는 조건을 충족하지 못함</x:v>
      </x:c>
    </x:row>
    <x:row r="20">
      <x:c r="A20" s="25" t="str">
        <x:v>DRUG GM</x:v>
      </x:c>
      <x:c r="B20" s="26" t="str">
        <x:v>CONTINUITIES</x:v>
      </x:c>
      <x:c r="C20" s="26" t="n">
        <x:v>8</x:v>
      </x:c>
      <x:c r="D20" s="26" t="n">
        <x:v>94</x:v>
      </x:c>
      <x:c r="E20" s="26" t="n">
        <x:v>99</x:v>
      </x:c>
      <x:c r="F20" s="26" t="n">
        <x:v>0.007723112128146449</x:v>
      </x:c>
      <x:c r="G20" s="26" t="n">
        <x:v>-0.021552397508740707</x:v>
      </x:c>
      <x:c r="H20" s="26" t="n">
        <x:v>0.0369986217650336</x:v>
      </x:c>
      <x:c r="I20" s="26" t="n">
        <x:v>0.30255588870272354</x:v>
      </x:c>
      <x:c r="J20" s="26" t="n">
        <x:v>0.03619279375</x:v>
      </x:c>
      <x:c r="K20" s="26" t="n">
        <x:v>-0.0584372549955788</x:v>
      </x:c>
      <x:c r="L20" s="26" t="n">
        <x:v>0.1308228424955788</x:v>
      </x:c>
      <x:c r="M20" s="26" t="n">
        <x:v>0.22673766723736247</x:v>
      </x:c>
      <x:c r="N20" s="26" t="n">
        <x:v>0.125</x:v>
      </x:c>
      <x:c r="O20" s="26" t="n">
        <x:v>0.125</x:v>
      </x:c>
      <x:c r="P20" s="26" t="n">
        <x:v>1</x:v>
      </x:c>
      <x:c r="Q20" s="26" t="n">
        <x:v>8</x:v>
      </x:c>
      <x:c r="R20" s="26" t="n">
        <x:v>8</x:v>
      </x:c>
      <x:c r="S20" s="26" t="n">
        <x:v>0</x:v>
      </x:c>
      <x:c r="T20" s="26"/>
      <x:c r="U20" s="26"/>
      <x:c r="V20" s="26"/>
      <x:c r="W20" s="26" t="n">
        <x:v>0</x:v>
      </x:c>
      <x:c r="X20" s="26"/>
      <x:c r="Y20" s="26"/>
      <x:c r="Z20" s="26"/>
      <x:c r="AA20" s="26" t="n">
        <x:v>0</x:v>
      </x:c>
      <x:c r="AB20" s="26" t="n">
        <x:v>0</x:v>
      </x:c>
      <x:c r="AC20" s="39" t="b">
        <x:v>1</x:v>
      </x:c>
      <x:c r="AD20" s="39" t="b">
        <x:v>0</x:v>
      </x:c>
      <x:c r="AE20" s="39" t="b">
        <x:v>0</x:v>
      </x:c>
      <x:c r="AF20" s="26" t="n">
        <x:v>0</x:v>
      </x:c>
      <x:c r="AG20" s="26" t="n">
        <x:v>0</x:v>
      </x:c>
      <x:c r="AH20" s="26" t="n">
        <x:v>8</x:v>
      </x:c>
      <x:c r="AI20" s="26"/>
      <x:c r="AJ20" s="26" t="str">
        <x:v>결합 근거 부족</x:v>
      </x:c>
      <x:c r="AK20" s="27" t="str">
        <x:v>판매발생률·매출이 두 단독 방식보다 모두 높다는 조건을 충족하지 못함</x:v>
      </x:c>
    </x:row>
    <x:row r="21">
      <x:c r="A21" s="25" t="str">
        <x:v>DRUG GM</x:v>
      </x:c>
      <x:c r="B21" s="26" t="str">
        <x:v>FOOT CARE PRODUCTS</x:v>
      </x:c>
      <x:c r="C21" s="26" t="n">
        <x:v>3</x:v>
      </x:c>
      <x:c r="D21" s="26" t="n">
        <x:v>5</x:v>
      </x:c>
      <x:c r="E21" s="26" t="n">
        <x:v>5</x:v>
      </x:c>
      <x:c r="F21" s="26" t="n">
        <x:v>0</x:v>
      </x:c>
      <x:c r="G21" s="26" t="n">
        <x:v>0</x:v>
      </x:c>
      <x:c r="H21" s="26" t="n">
        <x:v>0</x:v>
      </x:c>
      <x:c r="I21" s="26" t="n">
        <x:v>0.5</x:v>
      </x:c>
      <x:c r="J21" s="26" t="n">
        <x:v>0</x:v>
      </x:c>
      <x:c r="K21" s="26" t="n">
        <x:v>0</x:v>
      </x:c>
      <x:c r="L21" s="26" t="n">
        <x:v>0</x:v>
      </x:c>
      <x:c r="M21" s="26" t="n">
        <x:v>0.5</x:v>
      </x:c>
      <x:c r="N21" s="26" t="n">
        <x:v>0</x:v>
      </x:c>
      <x:c r="O21" s="26" t="n">
        <x:v>0</x:v>
      </x:c>
      <x:c r="P21" s="26" t="n">
        <x:v>2</x:v>
      </x:c>
      <x:c r="Q21" s="26" t="n">
        <x:v>2</x:v>
      </x:c>
      <x:c r="R21" s="26" t="n">
        <x:v>2</x:v>
      </x:c>
      <x:c r="S21" s="26" t="n">
        <x:v>0</x:v>
      </x:c>
      <x:c r="T21" s="26" t="n">
        <x:v>0</x:v>
      </x:c>
      <x:c r="U21" s="26" t="n">
        <x:v>0</x:v>
      </x:c>
      <x:c r="V21" s="26" t="n">
        <x:v>0.5</x:v>
      </x:c>
      <x:c r="W21" s="26" t="n">
        <x:v>0</x:v>
      </x:c>
      <x:c r="X21" s="26" t="n">
        <x:v>0</x:v>
      </x:c>
      <x:c r="Y21" s="26" t="n">
        <x:v>0</x:v>
      </x:c>
      <x:c r="Z21" s="26" t="n">
        <x:v>0.5</x:v>
      </x:c>
      <x:c r="AA21" s="26" t="n">
        <x:v>0</x:v>
      </x:c>
      <x:c r="AB21" s="26" t="n">
        <x:v>0</x:v>
      </x:c>
      <x:c r="AC21" s="39" t="b">
        <x:v>1</x:v>
      </x:c>
      <x:c r="AD21" s="39" t="b">
        <x:v>0</x:v>
      </x:c>
      <x:c r="AE21" s="39" t="b">
        <x:v>0</x:v>
      </x:c>
      <x:c r="AF21" s="26" t="n">
        <x:v>0</x:v>
      </x:c>
      <x:c r="AG21" s="26" t="n">
        <x:v>0</x:v>
      </x:c>
      <x:c r="AH21" s="26" t="n">
        <x:v>2</x:v>
      </x:c>
      <x:c r="AI21" s="26"/>
      <x:c r="AJ21" s="26" t="str">
        <x:v>결합 근거 부족</x:v>
      </x:c>
      <x:c r="AK21" s="27" t="str">
        <x:v>판매발생률·매출이 두 단독 방식보다 모두 높다는 조건을 충족하지 못함</x:v>
      </x:c>
    </x:row>
    <x:row r="22">
      <x:c r="A22" s="25" t="str">
        <x:v>DRUG GM</x:v>
      </x:c>
      <x:c r="B22" s="26" t="str">
        <x:v>GLASSWARE &amp; DINNERWARE</x:v>
      </x:c>
      <x:c r="C22" s="26" t="n">
        <x:v>10</x:v>
      </x:c>
      <x:c r="D22" s="26" t="n">
        <x:v>30</x:v>
      </x:c>
      <x:c r="E22" s="26" t="n">
        <x:v>34</x:v>
      </x:c>
      <x:c r="F22" s="26" t="n">
        <x:v>0.01</x:v>
      </x:c>
      <x:c r="G22" s="26" t="n">
        <x:v>-0.009599999999999996</x:v>
      </x:c>
      <x:c r="H22" s="26" t="n">
        <x:v>0.029599999999999994</x:v>
      </x:c>
      <x:c r="I22" s="26" t="n">
        <x:v>0.158655253931457</x:v>
      </x:c>
      <x:c r="J22" s="26" t="n">
        <x:v>0.01</x:v>
      </x:c>
      <x:c r="K22" s="26" t="n">
        <x:v>-0.009599999999999996</x:v>
      </x:c>
      <x:c r="L22" s="26" t="n">
        <x:v>0.029599999999999994</x:v>
      </x:c>
      <x:c r="M22" s="26" t="n">
        <x:v>0.158655253931457</x:v>
      </x:c>
      <x:c r="N22" s="26" t="n">
        <x:v>0.1</x:v>
      </x:c>
      <x:c r="O22" s="26" t="n">
        <x:v>0.1</x:v>
      </x:c>
      <x:c r="P22" s="26" t="n">
        <x:v>4</x:v>
      </x:c>
      <x:c r="Q22" s="26" t="n">
        <x:v>6</x:v>
      </x:c>
      <x:c r="R22" s="26" t="n">
        <x:v>6</x:v>
      </x:c>
      <x:c r="S22" s="26" t="n">
        <x:v>0</x:v>
      </x:c>
      <x:c r="T22" s="26" t="n">
        <x:v>0</x:v>
      </x:c>
      <x:c r="U22" s="26" t="n">
        <x:v>0</x:v>
      </x:c>
      <x:c r="V22" s="26" t="n">
        <x:v>0.5</x:v>
      </x:c>
      <x:c r="W22" s="26" t="n">
        <x:v>0</x:v>
      </x:c>
      <x:c r="X22" s="26" t="n">
        <x:v>0</x:v>
      </x:c>
      <x:c r="Y22" s="26" t="n">
        <x:v>0</x:v>
      </x:c>
      <x:c r="Z22" s="26" t="n">
        <x:v>0.5</x:v>
      </x:c>
      <x:c r="AA22" s="26" t="n">
        <x:v>0</x:v>
      </x:c>
      <x:c r="AB22" s="26" t="n">
        <x:v>0</x:v>
      </x:c>
      <x:c r="AC22" s="39" t="b">
        <x:v>1</x:v>
      </x:c>
      <x:c r="AD22" s="39" t="b">
        <x:v>0</x:v>
      </x:c>
      <x:c r="AE22" s="39" t="b">
        <x:v>0</x:v>
      </x:c>
      <x:c r="AF22" s="26" t="n">
        <x:v>0</x:v>
      </x:c>
      <x:c r="AG22" s="26" t="n">
        <x:v>0</x:v>
      </x:c>
      <x:c r="AH22" s="26" t="n">
        <x:v>6</x:v>
      </x:c>
      <x:c r="AI22" s="26"/>
      <x:c r="AJ22" s="26" t="str">
        <x:v>결합 근거 부족</x:v>
      </x:c>
      <x:c r="AK22" s="27" t="str">
        <x:v>판매발생률·매출이 두 단독 방식보다 모두 높다는 조건을 충족하지 못함</x:v>
      </x:c>
    </x:row>
    <x:row r="23">
      <x:c r="A23" s="25" t="str">
        <x:v>DRUG GM</x:v>
      </x:c>
      <x:c r="B23" s="26" t="str">
        <x:v>HAIR CARE ACCESSORIES</x:v>
      </x:c>
      <x:c r="C23" s="26" t="n">
        <x:v>4</x:v>
      </x:c>
      <x:c r="D23" s="26" t="n">
        <x:v>18</x:v>
      </x:c>
      <x:c r="E23" s="26" t="n">
        <x:v>21</x:v>
      </x:c>
      <x:c r="F23" s="26" t="n">
        <x:v>0</x:v>
      </x:c>
      <x:c r="G23" s="26" t="n">
        <x:v>0</x:v>
      </x:c>
      <x:c r="H23" s="26" t="n">
        <x:v>0</x:v>
      </x:c>
      <x:c r="I23" s="26" t="n">
        <x:v>0.5</x:v>
      </x:c>
      <x:c r="J23" s="26" t="n">
        <x:v>0</x:v>
      </x:c>
      <x:c r="K23" s="26" t="n">
        <x:v>0</x:v>
      </x:c>
      <x:c r="L23" s="26" t="n">
        <x:v>0</x:v>
      </x:c>
      <x:c r="M23" s="26" t="n">
        <x:v>0.5</x:v>
      </x:c>
      <x:c r="N23" s="26" t="n">
        <x:v>0</x:v>
      </x:c>
      <x:c r="O23" s="26" t="n">
        <x:v>0</x:v>
      </x:c>
      <x:c r="P23" s="26" t="n">
        <x:v>1</x:v>
      </x:c>
      <x:c r="Q23" s="26" t="n">
        <x:v>4</x:v>
      </x:c>
      <x:c r="R23" s="26" t="n">
        <x:v>4</x:v>
      </x:c>
      <x:c r="S23" s="26" t="n">
        <x:v>0</x:v>
      </x:c>
      <x:c r="T23" s="26"/>
      <x:c r="U23" s="26"/>
      <x:c r="V23" s="26"/>
      <x:c r="W23" s="26" t="n">
        <x:v>0</x:v>
      </x:c>
      <x:c r="X23" s="26"/>
      <x:c r="Y23" s="26"/>
      <x:c r="Z23" s="26"/>
      <x:c r="AA23" s="26" t="n">
        <x:v>0</x:v>
      </x:c>
      <x:c r="AB23" s="26" t="n">
        <x:v>0</x:v>
      </x:c>
      <x:c r="AC23" s="39" t="b">
        <x:v>1</x:v>
      </x:c>
      <x:c r="AD23" s="39" t="b">
        <x:v>0</x:v>
      </x:c>
      <x:c r="AE23" s="39" t="b">
        <x:v>0</x:v>
      </x:c>
      <x:c r="AF23" s="26" t="n">
        <x:v>0</x:v>
      </x:c>
      <x:c r="AG23" s="26" t="n">
        <x:v>0</x:v>
      </x:c>
      <x:c r="AH23" s="26" t="n">
        <x:v>4</x:v>
      </x:c>
      <x:c r="AI23" s="26"/>
      <x:c r="AJ23" s="26" t="str">
        <x:v>결합 근거 부족</x:v>
      </x:c>
      <x:c r="AK23" s="27" t="str">
        <x:v>판매발생률·매출이 두 단독 방식보다 모두 높다는 조건을 충족하지 못함</x:v>
      </x:c>
    </x:row>
    <x:row r="24">
      <x:c r="A24" s="25" t="str">
        <x:v>DRUG GM</x:v>
      </x:c>
      <x:c r="B24" s="26" t="str">
        <x:v>HARDWARE SUPPLIES</x:v>
      </x:c>
      <x:c r="C24" s="26" t="n">
        <x:v>8</x:v>
      </x:c>
      <x:c r="D24" s="26" t="n">
        <x:v>49</x:v>
      </x:c>
      <x:c r="E24" s="26" t="n">
        <x:v>54</x:v>
      </x:c>
      <x:c r="F24" s="26" t="n">
        <x:v>0</x:v>
      </x:c>
      <x:c r="G24" s="26" t="n">
        <x:v>0</x:v>
      </x:c>
      <x:c r="H24" s="26" t="n">
        <x:v>0</x:v>
      </x:c>
      <x:c r="I24" s="26" t="n">
        <x:v>0.5</x:v>
      </x:c>
      <x:c r="J24" s="26" t="n">
        <x:v>0</x:v>
      </x:c>
      <x:c r="K24" s="26" t="n">
        <x:v>0</x:v>
      </x:c>
      <x:c r="L24" s="26" t="n">
        <x:v>0</x:v>
      </x:c>
      <x:c r="M24" s="26" t="n">
        <x:v>0.5</x:v>
      </x:c>
      <x:c r="N24" s="26" t="n">
        <x:v>0</x:v>
      </x:c>
      <x:c r="O24" s="26" t="n">
        <x:v>0</x:v>
      </x:c>
      <x:c r="P24" s="26" t="n">
        <x:v>1</x:v>
      </x:c>
      <x:c r="Q24" s="26" t="n">
        <x:v>1</x:v>
      </x:c>
      <x:c r="R24" s="26" t="n">
        <x:v>1</x:v>
      </x:c>
      <x:c r="S24" s="26" t="n">
        <x:v>0</x:v>
      </x:c>
      <x:c r="T24" s="26"/>
      <x:c r="U24" s="26"/>
      <x:c r="V24" s="26"/>
      <x:c r="W24" s="26" t="n">
        <x:v>0</x:v>
      </x:c>
      <x:c r="X24" s="26"/>
      <x:c r="Y24" s="26"/>
      <x:c r="Z24" s="26"/>
      <x:c r="AA24" s="26" t="n">
        <x:v>0</x:v>
      </x:c>
      <x:c r="AB24" s="26" t="n">
        <x:v>0</x:v>
      </x:c>
      <x:c r="AC24" s="39" t="b">
        <x:v>1</x:v>
      </x:c>
      <x:c r="AD24" s="39" t="b">
        <x:v>0</x:v>
      </x:c>
      <x:c r="AE24" s="39" t="b">
        <x:v>0</x:v>
      </x:c>
      <x:c r="AF24" s="26" t="n">
        <x:v>0</x:v>
      </x:c>
      <x:c r="AG24" s="26" t="n">
        <x:v>0</x:v>
      </x:c>
      <x:c r="AH24" s="26" t="n">
        <x:v>1</x:v>
      </x:c>
      <x:c r="AI24" s="26"/>
      <x:c r="AJ24" s="26" t="str">
        <x:v>결합 근거 부족</x:v>
      </x:c>
      <x:c r="AK24" s="27" t="str">
        <x:v>판매발생률·매출이 두 단독 방식보다 모두 높다는 조건을 충족하지 못함</x:v>
      </x:c>
    </x:row>
    <x:row r="25">
      <x:c r="A25" s="25" t="str">
        <x:v>DRUG GM</x:v>
      </x:c>
      <x:c r="B25" s="26" t="str">
        <x:v>HOME FURNISHINGS</x:v>
      </x:c>
      <x:c r="C25" s="26" t="n">
        <x:v>1</x:v>
      </x:c>
      <x:c r="D25" s="26" t="n">
        <x:v>2</x:v>
      </x:c>
      <x:c r="E25" s="26" t="n">
        <x:v>2</x:v>
      </x:c>
      <x:c r="F25" s="26" t="n">
        <x:v>0</x:v>
      </x:c>
      <x:c r="G25" s="26"/>
      <x:c r="H25" s="26"/>
      <x:c r="I25" s="26"/>
      <x:c r="J25" s="26" t="n">
        <x:v>0</x:v>
      </x:c>
      <x:c r="K25" s="26"/>
      <x:c r="L25" s="26"/>
      <x:c r="M25" s="26"/>
      <x:c r="N25" s="26" t="n">
        <x:v>0</x:v>
      </x:c>
      <x:c r="O25" s="26" t="n">
        <x:v>0</x:v>
      </x:c>
      <x:c r="P25" s="26" t="n">
        <x:v>1</x:v>
      </x:c>
      <x:c r="Q25" s="26" t="n">
        <x:v>1</x:v>
      </x:c>
      <x:c r="R25" s="26" t="n">
        <x:v>1</x:v>
      </x:c>
      <x:c r="S25" s="26" t="n">
        <x:v>0</x:v>
      </x:c>
      <x:c r="T25" s="26"/>
      <x:c r="U25" s="26"/>
      <x:c r="V25" s="26"/>
      <x:c r="W25" s="26" t="n">
        <x:v>0</x:v>
      </x:c>
      <x:c r="X25" s="26"/>
      <x:c r="Y25" s="26"/>
      <x:c r="Z25" s="26"/>
      <x:c r="AA25" s="26" t="n">
        <x:v>0</x:v>
      </x:c>
      <x:c r="AB25" s="26" t="n">
        <x:v>0</x:v>
      </x:c>
      <x:c r="AC25" s="39" t="b">
        <x:v>1</x:v>
      </x:c>
      <x:c r="AD25" s="39" t="b">
        <x:v>0</x:v>
      </x:c>
      <x:c r="AE25" s="39" t="b">
        <x:v>0</x:v>
      </x:c>
      <x:c r="AF25" s="26" t="n">
        <x:v>0</x:v>
      </x:c>
      <x:c r="AG25" s="26" t="n">
        <x:v>0</x:v>
      </x:c>
      <x:c r="AH25" s="26" t="n">
        <x:v>1</x:v>
      </x:c>
      <x:c r="AI25" s="26"/>
      <x:c r="AJ25" s="26" t="str">
        <x:v>결합 근거 부족</x:v>
      </x:c>
      <x:c r="AK25" s="27" t="str">
        <x:v>판매발생률·매출이 두 단독 방식보다 모두 높다는 조건을 충족하지 못함</x:v>
      </x:c>
    </x:row>
    <x:row r="26">
      <x:c r="A26" s="25" t="str">
        <x:v>DRUG GM</x:v>
      </x:c>
      <x:c r="B26" s="26" t="str">
        <x:v>HOSIERY/SOCKS</x:v>
      </x:c>
      <x:c r="C26" s="26" t="n">
        <x:v>14</x:v>
      </x:c>
      <x:c r="D26" s="26" t="n">
        <x:v>39</x:v>
      </x:c>
      <x:c r="E26" s="26" t="n">
        <x:v>40</x:v>
      </x:c>
      <x:c r="F26" s="26" t="n">
        <x:v>0.0119047619047619</x:v>
      </x:c>
      <x:c r="G26" s="26" t="n">
        <x:v>-0.011428571428571423</x:v>
      </x:c>
      <x:c r="H26" s="26" t="n">
        <x:v>0.03523809523809522</x:v>
      </x:c>
      <x:c r="I26" s="26" t="n">
        <x:v>0.15865525393145705</x:v>
      </x:c>
      <x:c r="J26" s="26" t="n">
        <x:v>0.07130952142857143</x:v>
      </x:c>
      <x:c r="K26" s="26" t="n">
        <x:v>-0.06845714057142856</x:v>
      </x:c>
      <x:c r="L26" s="26" t="n">
        <x:v>0.21107618342857143</x:v>
      </x:c>
      <x:c r="M26" s="26" t="n">
        <x:v>0.15865525393145705</x:v>
      </x:c>
      <x:c r="N26" s="26" t="n">
        <x:v>0.07142857142857142</x:v>
      </x:c>
      <x:c r="O26" s="26" t="n">
        <x:v>0.07142857142857142</x:v>
      </x:c>
      <x:c r="P26" s="26" t="n">
        <x:v>1</x:v>
      </x:c>
      <x:c r="Q26" s="26" t="n">
        <x:v>9</x:v>
      </x:c>
      <x:c r="R26" s="26" t="n">
        <x:v>9</x:v>
      </x:c>
      <x:c r="S26" s="26" t="n">
        <x:v>0</x:v>
      </x:c>
      <x:c r="T26" s="26"/>
      <x:c r="U26" s="26"/>
      <x:c r="V26" s="26"/>
      <x:c r="W26" s="26" t="n">
        <x:v>0</x:v>
      </x:c>
      <x:c r="X26" s="26"/>
      <x:c r="Y26" s="26"/>
      <x:c r="Z26" s="26"/>
      <x:c r="AA26" s="26" t="n">
        <x:v>0</x:v>
      </x:c>
      <x:c r="AB26" s="26" t="n">
        <x:v>0</x:v>
      </x:c>
      <x:c r="AC26" s="39" t="b">
        <x:v>1</x:v>
      </x:c>
      <x:c r="AD26" s="39" t="b">
        <x:v>0</x:v>
      </x:c>
      <x:c r="AE26" s="39" t="b">
        <x:v>0</x:v>
      </x:c>
      <x:c r="AF26" s="26" t="n">
        <x:v>0</x:v>
      </x:c>
      <x:c r="AG26" s="26" t="n">
        <x:v>0</x:v>
      </x:c>
      <x:c r="AH26" s="26" t="n">
        <x:v>9</x:v>
      </x:c>
      <x:c r="AI26" s="26"/>
      <x:c r="AJ26" s="26" t="str">
        <x:v>결합 근거 부족</x:v>
      </x:c>
      <x:c r="AK26" s="27" t="str">
        <x:v>판매발생률·매출이 두 단독 방식보다 모두 높다는 조건을 충족하지 못함</x:v>
      </x:c>
    </x:row>
    <x:row r="27">
      <x:c r="A27" s="25" t="str">
        <x:v>DRUG GM</x:v>
      </x:c>
      <x:c r="B27" s="26" t="str">
        <x:v>INSECTICIDES</x:v>
      </x:c>
      <x:c r="C27" s="26" t="n">
        <x:v>16</x:v>
      </x:c>
      <x:c r="D27" s="26" t="n">
        <x:v>47</x:v>
      </x:c>
      <x:c r="E27" s="26" t="n">
        <x:v>63</x:v>
      </x:c>
      <x:c r="F27" s="26" t="n">
        <x:v>0</x:v>
      </x:c>
      <x:c r="G27" s="26" t="n">
        <x:v>0</x:v>
      </x:c>
      <x:c r="H27" s="26" t="n">
        <x:v>0</x:v>
      </x:c>
      <x:c r="I27" s="26" t="n">
        <x:v>0.5</x:v>
      </x:c>
      <x:c r="J27" s="26" t="n">
        <x:v>0</x:v>
      </x:c>
      <x:c r="K27" s="26" t="n">
        <x:v>0</x:v>
      </x:c>
      <x:c r="L27" s="26" t="n">
        <x:v>0</x:v>
      </x:c>
      <x:c r="M27" s="26" t="n">
        <x:v>0.5</x:v>
      </x:c>
      <x:c r="N27" s="26" t="n">
        <x:v>0</x:v>
      </x:c>
      <x:c r="O27" s="26" t="n">
        <x:v>0</x:v>
      </x:c>
      <x:c r="P27" s="26" t="n">
        <x:v>9</x:v>
      </x:c>
      <x:c r="Q27" s="26" t="n">
        <x:v>40</x:v>
      </x:c>
      <x:c r="R27" s="26" t="n">
        <x:v>42</x:v>
      </x:c>
      <x:c r="S27" s="26" t="n">
        <x:v>0</x:v>
      </x:c>
      <x:c r="T27" s="26" t="n">
        <x:v>0</x:v>
      </x:c>
      <x:c r="U27" s="26" t="n">
        <x:v>0</x:v>
      </x:c>
      <x:c r="V27" s="26" t="n">
        <x:v>0.5</x:v>
      </x:c>
      <x:c r="W27" s="26" t="n">
        <x:v>0</x:v>
      </x:c>
      <x:c r="X27" s="26" t="n">
        <x:v>0</x:v>
      </x:c>
      <x:c r="Y27" s="26" t="n">
        <x:v>0</x:v>
      </x:c>
      <x:c r="Z27" s="26" t="n">
        <x:v>0.5</x:v>
      </x:c>
      <x:c r="AA27" s="26" t="n">
        <x:v>0</x:v>
      </x:c>
      <x:c r="AB27" s="26" t="n">
        <x:v>0</x:v>
      </x:c>
      <x:c r="AC27" s="39" t="b">
        <x:v>1</x:v>
      </x:c>
      <x:c r="AD27" s="39" t="b">
        <x:v>0</x:v>
      </x:c>
      <x:c r="AE27" s="39" t="b">
        <x:v>0</x:v>
      </x:c>
      <x:c r="AF27" s="26" t="n">
        <x:v>0</x:v>
      </x:c>
      <x:c r="AG27" s="26" t="n">
        <x:v>0</x:v>
      </x:c>
      <x:c r="AH27" s="26" t="n">
        <x:v>42</x:v>
      </x:c>
      <x:c r="AI27" s="26"/>
      <x:c r="AJ27" s="26" t="str">
        <x:v>결합 근거 부족</x:v>
      </x:c>
      <x:c r="AK27" s="27" t="str">
        <x:v>판매발생률·매출이 두 단독 방식보다 모두 높다는 조건을 충족하지 못함</x:v>
      </x:c>
    </x:row>
    <x:row r="28">
      <x:c r="A28" s="25" t="str">
        <x:v>DRUG GM</x:v>
      </x:c>
      <x:c r="B28" s="26" t="str">
        <x:v>LONG DISTANCE CALLING CARDS</x:v>
      </x:c>
      <x:c r="C28" s="26" t="n">
        <x:v>2</x:v>
      </x:c>
      <x:c r="D28" s="26" t="n">
        <x:v>9</x:v>
      </x:c>
      <x:c r="E28" s="26" t="n">
        <x:v>14</x:v>
      </x:c>
      <x:c r="F28" s="26" t="n">
        <x:v>0</x:v>
      </x:c>
      <x:c r="G28" s="26" t="n">
        <x:v>0</x:v>
      </x:c>
      <x:c r="H28" s="26" t="n">
        <x:v>0</x:v>
      </x:c>
      <x:c r="I28" s="26" t="n">
        <x:v>0.5</x:v>
      </x:c>
      <x:c r="J28" s="26" t="n">
        <x:v>0</x:v>
      </x:c>
      <x:c r="K28" s="26" t="n">
        <x:v>0</x:v>
      </x:c>
      <x:c r="L28" s="26" t="n">
        <x:v>0</x:v>
      </x:c>
      <x:c r="M28" s="26" t="n">
        <x:v>0.5</x:v>
      </x:c>
      <x:c r="N28" s="26" t="n">
        <x:v>0</x:v>
      </x:c>
      <x:c r="O28" s="26" t="n">
        <x:v>0</x:v>
      </x:c>
      <x:c r="P28" s="26" t="n">
        <x:v>2</x:v>
      </x:c>
      <x:c r="Q28" s="26" t="n">
        <x:v>5</x:v>
      </x:c>
      <x:c r="R28" s="26" t="n">
        <x:v>5</x:v>
      </x:c>
      <x:c r="S28" s="26" t="n">
        <x:v>0</x:v>
      </x:c>
      <x:c r="T28" s="26" t="n">
        <x:v>0</x:v>
      </x:c>
      <x:c r="U28" s="26" t="n">
        <x:v>0</x:v>
      </x:c>
      <x:c r="V28" s="26" t="n">
        <x:v>0.5</x:v>
      </x:c>
      <x:c r="W28" s="26" t="n">
        <x:v>0</x:v>
      </x:c>
      <x:c r="X28" s="26" t="n">
        <x:v>0</x:v>
      </x:c>
      <x:c r="Y28" s="26" t="n">
        <x:v>0</x:v>
      </x:c>
      <x:c r="Z28" s="26" t="n">
        <x:v>0.5</x:v>
      </x:c>
      <x:c r="AA28" s="26" t="n">
        <x:v>0</x:v>
      </x:c>
      <x:c r="AB28" s="26" t="n">
        <x:v>0</x:v>
      </x:c>
      <x:c r="AC28" s="39" t="b">
        <x:v>1</x:v>
      </x:c>
      <x:c r="AD28" s="39" t="b">
        <x:v>0</x:v>
      </x:c>
      <x:c r="AE28" s="39" t="b">
        <x:v>0</x:v>
      </x:c>
      <x:c r="AF28" s="26" t="n">
        <x:v>0</x:v>
      </x:c>
      <x:c r="AG28" s="26" t="n">
        <x:v>0</x:v>
      </x:c>
      <x:c r="AH28" s="26" t="n">
        <x:v>5</x:v>
      </x:c>
      <x:c r="AI28" s="26"/>
      <x:c r="AJ28" s="26" t="str">
        <x:v>결합 근거 부족</x:v>
      </x:c>
      <x:c r="AK28" s="27" t="str">
        <x:v>판매발생률·매출이 두 단독 방식보다 모두 높다는 조건을 충족하지 못함</x:v>
      </x:c>
    </x:row>
    <x:row r="29">
      <x:c r="A29" s="25" t="str">
        <x:v>DRUG GM</x:v>
      </x:c>
      <x:c r="B29" s="26" t="str">
        <x:v>PREPAID WIRELESS&amp;ACCESSORIES</x:v>
      </x:c>
      <x:c r="C29" s="26" t="n">
        <x:v>5</x:v>
      </x:c>
      <x:c r="D29" s="26" t="n">
        <x:v>7</x:v>
      </x:c>
      <x:c r="E29" s="26" t="n">
        <x:v>17</x:v>
      </x:c>
      <x:c r="F29" s="26" t="n">
        <x:v>0</x:v>
      </x:c>
      <x:c r="G29" s="26" t="n">
        <x:v>0</x:v>
      </x:c>
      <x:c r="H29" s="26" t="n">
        <x:v>0</x:v>
      </x:c>
      <x:c r="I29" s="26" t="n">
        <x:v>0.5</x:v>
      </x:c>
      <x:c r="J29" s="26" t="n">
        <x:v>0</x:v>
      </x:c>
      <x:c r="K29" s="26" t="n">
        <x:v>0</x:v>
      </x:c>
      <x:c r="L29" s="26" t="n">
        <x:v>0</x:v>
      </x:c>
      <x:c r="M29" s="26" t="n">
        <x:v>0.5</x:v>
      </x:c>
      <x:c r="N29" s="26" t="n">
        <x:v>0</x:v>
      </x:c>
      <x:c r="O29" s="26" t="n">
        <x:v>0</x:v>
      </x:c>
      <x:c r="P29" s="26" t="n">
        <x:v>2</x:v>
      </x:c>
      <x:c r="Q29" s="26" t="n">
        <x:v>2</x:v>
      </x:c>
      <x:c r="R29" s="26" t="n">
        <x:v>6</x:v>
      </x:c>
      <x:c r="S29" s="26" t="n">
        <x:v>0</x:v>
      </x:c>
      <x:c r="T29" s="26" t="n">
        <x:v>0</x:v>
      </x:c>
      <x:c r="U29" s="26" t="n">
        <x:v>0</x:v>
      </x:c>
      <x:c r="V29" s="26" t="n">
        <x:v>0.5</x:v>
      </x:c>
      <x:c r="W29" s="26" t="n">
        <x:v>0</x:v>
      </x:c>
      <x:c r="X29" s="26" t="n">
        <x:v>0</x:v>
      </x:c>
      <x:c r="Y29" s="26" t="n">
        <x:v>0</x:v>
      </x:c>
      <x:c r="Z29" s="26" t="n">
        <x:v>0.5</x:v>
      </x:c>
      <x:c r="AA29" s="26" t="n">
        <x:v>0</x:v>
      </x:c>
      <x:c r="AB29" s="26" t="n">
        <x:v>0</x:v>
      </x:c>
      <x:c r="AC29" s="39" t="b">
        <x:v>1</x:v>
      </x:c>
      <x:c r="AD29" s="39" t="b">
        <x:v>0</x:v>
      </x:c>
      <x:c r="AE29" s="39" t="b">
        <x:v>0</x:v>
      </x:c>
      <x:c r="AF29" s="26" t="n">
        <x:v>0</x:v>
      </x:c>
      <x:c r="AG29" s="26" t="n">
        <x:v>0</x:v>
      </x:c>
      <x:c r="AH29" s="26" t="n">
        <x:v>6</x:v>
      </x:c>
      <x:c r="AI29" s="26"/>
      <x:c r="AJ29" s="26" t="str">
        <x:v>결합 근거 부족</x:v>
      </x:c>
      <x:c r="AK29" s="27" t="str">
        <x:v>판매발생률·매출이 두 단독 방식보다 모두 높다는 조건을 충족하지 못함</x:v>
      </x:c>
    </x:row>
    <x:row r="30">
      <x:c r="A30" s="25" t="str">
        <x:v>DRUG GM</x:v>
      </x:c>
      <x:c r="B30" s="26" t="str">
        <x:v>SPORTS MEMORABLILIA</x:v>
      </x:c>
      <x:c r="C30" s="26" t="n">
        <x:v>12</x:v>
      </x:c>
      <x:c r="D30" s="26" t="n">
        <x:v>69</x:v>
      </x:c>
      <x:c r="E30" s="26" t="n">
        <x:v>71</x:v>
      </x:c>
      <x:c r="F30" s="26" t="n">
        <x:v>0.03535353535353535</x:v>
      </x:c>
      <x:c r="G30" s="26" t="n">
        <x:v>-0.01976170783407496</x:v>
      </x:c>
      <x:c r="H30" s="26" t="n">
        <x:v>0.09046877854114566</x:v>
      </x:c>
      <x:c r="I30" s="26" t="n">
        <x:v>0.10433389384913215</x:v>
      </x:c>
      <x:c r="J30" s="26" t="n">
        <x:v>0.05482322833333333</x:v>
      </x:c>
      <x:c r="K30" s="26" t="n">
        <x:v>-0.034362335960824546</x:v>
      </x:c>
      <x:c r="L30" s="26" t="n">
        <x:v>0.1440087926274912</x:v>
      </x:c>
      <x:c r="M30" s="26" t="n">
        <x:v>0.11413428598852832</x:v>
      </x:c>
      <x:c r="N30" s="26" t="n">
        <x:v>0.16666666666666666</x:v>
      </x:c>
      <x:c r="O30" s="26" t="n">
        <x:v>0.16666666666666666</x:v>
      </x:c>
      <x:c r="P30" s="26" t="n">
        <x:v>3</x:v>
      </x:c>
      <x:c r="Q30" s="26" t="n">
        <x:v>3</x:v>
      </x:c>
      <x:c r="R30" s="26" t="n">
        <x:v>3</x:v>
      </x:c>
      <x:c r="S30" s="26" t="n">
        <x:v>0</x:v>
      </x:c>
      <x:c r="T30" s="26" t="n">
        <x:v>0</x:v>
      </x:c>
      <x:c r="U30" s="26" t="n">
        <x:v>0</x:v>
      </x:c>
      <x:c r="V30" s="26" t="n">
        <x:v>0.5</x:v>
      </x:c>
      <x:c r="W30" s="26" t="n">
        <x:v>0</x:v>
      </x:c>
      <x:c r="X30" s="26" t="n">
        <x:v>0</x:v>
      </x:c>
      <x:c r="Y30" s="26" t="n">
        <x:v>0</x:v>
      </x:c>
      <x:c r="Z30" s="26" t="n">
        <x:v>0.5</x:v>
      </x:c>
      <x:c r="AA30" s="26" t="n">
        <x:v>0</x:v>
      </x:c>
      <x:c r="AB30" s="26" t="n">
        <x:v>0</x:v>
      </x:c>
      <x:c r="AC30" s="39" t="b">
        <x:v>1</x:v>
      </x:c>
      <x:c r="AD30" s="39" t="b">
        <x:v>0</x:v>
      </x:c>
      <x:c r="AE30" s="39" t="b">
        <x:v>0</x:v>
      </x:c>
      <x:c r="AF30" s="26" t="n">
        <x:v>0</x:v>
      </x:c>
      <x:c r="AG30" s="26" t="n">
        <x:v>0</x:v>
      </x:c>
      <x:c r="AH30" s="26" t="n">
        <x:v>3</x:v>
      </x:c>
      <x:c r="AI30" s="26"/>
      <x:c r="AJ30" s="26" t="str">
        <x:v>결합 근거 부족</x:v>
      </x:c>
      <x:c r="AK30" s="27" t="str">
        <x:v>판매발생률·매출이 두 단독 방식보다 모두 높다는 조건을 충족하지 못함</x:v>
      </x:c>
    </x:row>
    <x:row r="31">
      <x:c r="A31" s="25" t="str">
        <x:v>DRUG GM</x:v>
      </x:c>
      <x:c r="B31" s="26" t="str">
        <x:v>VALENTINE</x:v>
      </x:c>
      <x:c r="C31" s="26" t="n">
        <x:v>30</x:v>
      </x:c>
      <x:c r="D31" s="26" t="n">
        <x:v>83</x:v>
      </x:c>
      <x:c r="E31" s="26" t="n">
        <x:v>124</x:v>
      </x:c>
      <x:c r="F31" s="26" t="n">
        <x:v>0</x:v>
      </x:c>
      <x:c r="G31" s="26" t="n">
        <x:v>0</x:v>
      </x:c>
      <x:c r="H31" s="26" t="n">
        <x:v>0</x:v>
      </x:c>
      <x:c r="I31" s="26" t="n">
        <x:v>0.5</x:v>
      </x:c>
      <x:c r="J31" s="26" t="n">
        <x:v>0</x:v>
      </x:c>
      <x:c r="K31" s="26" t="n">
        <x:v>0</x:v>
      </x:c>
      <x:c r="L31" s="26" t="n">
        <x:v>0</x:v>
      </x:c>
      <x:c r="M31" s="26" t="n">
        <x:v>0.5</x:v>
      </x:c>
      <x:c r="N31" s="26" t="n">
        <x:v>0</x:v>
      </x:c>
      <x:c r="O31" s="26" t="n">
        <x:v>0</x:v>
      </x:c>
      <x:c r="P31" s="26" t="n">
        <x:v>30</x:v>
      </x:c>
      <x:c r="Q31" s="26" t="n">
        <x:v>72</x:v>
      </x:c>
      <x:c r="R31" s="26" t="n">
        <x:v>80</x:v>
      </x:c>
      <x:c r="S31" s="26" t="n">
        <x:v>0.016666666666666666</x:v>
      </x:c>
      <x:c r="T31" s="26" t="n">
        <x:v>-0.01599999999999999</x:v>
      </x:c>
      <x:c r="U31" s="26" t="n">
        <x:v>0.049333333333333326</x:v>
      </x:c>
      <x:c r="V31" s="26" t="n">
        <x:v>0.158655253931457</x:v>
      </x:c>
      <x:c r="W31" s="26" t="n">
        <x:v>0.0415</x:v>
      </x:c>
      <x:c r="X31" s="26" t="n">
        <x:v>-0.03984000000000001</x:v>
      </x:c>
      <x:c r="Y31" s="26" t="n">
        <x:v>0.12284</x:v>
      </x:c>
      <x:c r="Z31" s="26" t="n">
        <x:v>0.15865525393145713</x:v>
      </x:c>
      <x:c r="AA31" s="26" t="n">
        <x:v>0.03333333333333333</x:v>
      </x:c>
      <x:c r="AB31" s="26" t="n">
        <x:v>0.03333333333333333</x:v>
      </x:c>
      <x:c r="AC31" s="39" t="b">
        <x:v>1</x:v>
      </x:c>
      <x:c r="AD31" s="39" t="b">
        <x:v>0</x:v>
      </x:c>
      <x:c r="AE31" s="39" t="b">
        <x:v>0</x:v>
      </x:c>
      <x:c r="AF31" s="26" t="n">
        <x:v>0</x:v>
      </x:c>
      <x:c r="AG31" s="26" t="n">
        <x:v>0</x:v>
      </x:c>
      <x:c r="AH31" s="26" t="n">
        <x:v>80</x:v>
      </x:c>
      <x:c r="AI31" s="26"/>
      <x:c r="AJ31" s="26" t="str">
        <x:v>결합 근거 부족</x:v>
      </x:c>
      <x:c r="AK31" s="27" t="str">
        <x:v>판매발생률·매출이 두 단독 방식보다 모두 높다는 조건을 충족하지 못함</x:v>
      </x:c>
    </x:row>
    <x:row r="32">
      <x:c r="A32" s="25" t="str">
        <x:v>DRUG GM</x:v>
      </x:c>
      <x:c r="B32" s="26" t="str">
        <x:v>WATCHES/CALCULATORS/LOBBY</x:v>
      </x:c>
      <x:c r="C32" s="26" t="n">
        <x:v>2</x:v>
      </x:c>
      <x:c r="D32" s="26" t="n">
        <x:v>5</x:v>
      </x:c>
      <x:c r="E32" s="26" t="n">
        <x:v>6</x:v>
      </x:c>
      <x:c r="F32" s="26" t="n">
        <x:v>0</x:v>
      </x:c>
      <x:c r="G32" s="26" t="n">
        <x:v>0</x:v>
      </x:c>
      <x:c r="H32" s="26" t="n">
        <x:v>0</x:v>
      </x:c>
      <x:c r="I32" s="26" t="n">
        <x:v>0.5</x:v>
      </x:c>
      <x:c r="J32" s="26" t="n">
        <x:v>0</x:v>
      </x:c>
      <x:c r="K32" s="26" t="n">
        <x:v>0</x:v>
      </x:c>
      <x:c r="L32" s="26" t="n">
        <x:v>0</x:v>
      </x:c>
      <x:c r="M32" s="26" t="n">
        <x:v>0.5</x:v>
      </x:c>
      <x:c r="N32" s="26" t="n">
        <x:v>0</x:v>
      </x:c>
      <x:c r="O32" s="26" t="n">
        <x:v>0</x:v>
      </x:c>
      <x:c r="P32" s="26" t="n">
        <x:v>1</x:v>
      </x:c>
      <x:c r="Q32" s="26" t="n">
        <x:v>1</x:v>
      </x:c>
      <x:c r="R32" s="26" t="n">
        <x:v>1</x:v>
      </x:c>
      <x:c r="S32" s="26" t="n">
        <x:v>0</x:v>
      </x:c>
      <x:c r="T32" s="26"/>
      <x:c r="U32" s="26"/>
      <x:c r="V32" s="26"/>
      <x:c r="W32" s="26" t="n">
        <x:v>0</x:v>
      </x:c>
      <x:c r="X32" s="26"/>
      <x:c r="Y32" s="26"/>
      <x:c r="Z32" s="26"/>
      <x:c r="AA32" s="26" t="n">
        <x:v>0</x:v>
      </x:c>
      <x:c r="AB32" s="26" t="n">
        <x:v>0</x:v>
      </x:c>
      <x:c r="AC32" s="39" t="b">
        <x:v>1</x:v>
      </x:c>
      <x:c r="AD32" s="39" t="b">
        <x:v>0</x:v>
      </x:c>
      <x:c r="AE32" s="39" t="b">
        <x:v>0</x:v>
      </x:c>
      <x:c r="AF32" s="26" t="n">
        <x:v>0</x:v>
      </x:c>
      <x:c r="AG32" s="26" t="n">
        <x:v>0</x:v>
      </x:c>
      <x:c r="AH32" s="26" t="n">
        <x:v>1</x:v>
      </x:c>
      <x:c r="AI32" s="26"/>
      <x:c r="AJ32" s="26" t="str">
        <x:v>결합 근거 부족</x:v>
      </x:c>
      <x:c r="AK32" s="27" t="str">
        <x:v>판매발생률·매출이 두 단독 방식보다 모두 높다는 조건을 충족하지 못함</x:v>
      </x:c>
    </x:row>
    <x:row r="33">
      <x:c r="A33" s="25" t="str">
        <x:v>GROCERY</x:v>
      </x:c>
      <x:c r="B33" s="26" t="str">
        <x:v>FRZN SEAFOOD</x:v>
      </x:c>
      <x:c r="C33" s="26" t="n">
        <x:v>3</x:v>
      </x:c>
      <x:c r="D33" s="26" t="n">
        <x:v>81</x:v>
      </x:c>
      <x:c r="E33" s="26" t="n">
        <x:v>132</x:v>
      </x:c>
      <x:c r="F33" s="26" t="n">
        <x:v>0</x:v>
      </x:c>
      <x:c r="G33" s="26" t="n">
        <x:v>0</x:v>
      </x:c>
      <x:c r="H33" s="26" t="n">
        <x:v>0</x:v>
      </x:c>
      <x:c r="I33" s="26" t="n">
        <x:v>0.5</x:v>
      </x:c>
      <x:c r="J33" s="26" t="n">
        <x:v>0</x:v>
      </x:c>
      <x:c r="K33" s="26" t="n">
        <x:v>0</x:v>
      </x:c>
      <x:c r="L33" s="26" t="n">
        <x:v>0</x:v>
      </x:c>
      <x:c r="M33" s="26" t="n">
        <x:v>0.5</x:v>
      </x:c>
      <x:c r="N33" s="26" t="n">
        <x:v>0</x:v>
      </x:c>
      <x:c r="O33" s="26" t="n">
        <x:v>0</x:v>
      </x:c>
      <x:c r="P33" s="26" t="n">
        <x:v>1</x:v>
      </x:c>
      <x:c r="Q33" s="26" t="n">
        <x:v>71</x:v>
      </x:c>
      <x:c r="R33" s="26" t="n">
        <x:v>132</x:v>
      </x:c>
      <x:c r="S33" s="26" t="n">
        <x:v>0</x:v>
      </x:c>
      <x:c r="T33" s="26"/>
      <x:c r="U33" s="26"/>
      <x:c r="V33" s="26"/>
      <x:c r="W33" s="26" t="n">
        <x:v>0</x:v>
      </x:c>
      <x:c r="X33" s="26"/>
      <x:c r="Y33" s="26"/>
      <x:c r="Z33" s="26"/>
      <x:c r="AA33" s="26" t="n">
        <x:v>0</x:v>
      </x:c>
      <x:c r="AB33" s="26" t="n">
        <x:v>0</x:v>
      </x:c>
      <x:c r="AC33" s="39" t="b">
        <x:v>1</x:v>
      </x:c>
      <x:c r="AD33" s="39" t="b">
        <x:v>0</x:v>
      </x:c>
      <x:c r="AE33" s="39" t="b">
        <x:v>0</x:v>
      </x:c>
      <x:c r="AF33" s="26" t="n">
        <x:v>0</x:v>
      </x:c>
      <x:c r="AG33" s="26" t="n">
        <x:v>0</x:v>
      </x:c>
      <x:c r="AH33" s="26" t="n">
        <x:v>132</x:v>
      </x:c>
      <x:c r="AI33" s="26"/>
      <x:c r="AJ33" s="26" t="str">
        <x:v>결합 근거 부족</x:v>
      </x:c>
      <x:c r="AK33" s="27" t="str">
        <x:v>판매발생률·매출이 두 단독 방식보다 모두 높다는 조건을 충족하지 못함</x:v>
      </x:c>
    </x:row>
    <x:row r="34">
      <x:c r="A34" s="25" t="str">
        <x:v>GROCERY</x:v>
      </x:c>
      <x:c r="B34" s="26" t="str">
        <x:v>IMPORTED WINE</x:v>
      </x:c>
      <x:c r="C34" s="26" t="n">
        <x:v>52</x:v>
      </x:c>
      <x:c r="D34" s="26" t="n">
        <x:v>596</x:v>
      </x:c>
      <x:c r="E34" s="26" t="n">
        <x:v>977</x:v>
      </x:c>
      <x:c r="F34" s="26" t="n">
        <x:v>0.0004474852071005923</x:v>
      </x:c>
      <x:c r="G34" s="26" t="n">
        <x:v>-0.00215223044002858</x:v>
      </x:c>
      <x:c r="H34" s="26" t="n">
        <x:v>0.003047200854229765</x:v>
      </x:c>
      <x:c r="I34" s="26" t="n">
        <x:v>0.3679182825962306</x:v>
      </x:c>
      <x:c r="J34" s="26" t="n">
        <x:v>0.0064267384615384615</x:v>
      </x:c>
      <x:c r="K34" s="26" t="n">
        <x:v>-0.021330143943370142</x:v>
      </x:c>
      <x:c r="L34" s="26" t="n">
        <x:v>0.034183620866447065</x:v>
      </x:c>
      <x:c r="M34" s="26" t="n">
        <x:v>0.32498205908830136</x:v>
      </x:c>
      <x:c r="N34" s="26" t="n">
        <x:v>0.019230769230769232</x:v>
      </x:c>
      <x:c r="O34" s="26" t="n">
        <x:v>0.019230769230769232</x:v>
      </x:c>
      <x:c r="P34" s="26" t="n">
        <x:v>11</x:v>
      </x:c>
      <x:c r="Q34" s="26" t="n">
        <x:v>120</x:v>
      </x:c>
      <x:c r="R34" s="26" t="n">
        <x:v>146</x:v>
      </x:c>
      <x:c r="S34" s="26" t="n">
        <x:v>0</x:v>
      </x:c>
      <x:c r="T34" s="26" t="n">
        <x:v>0</x:v>
      </x:c>
      <x:c r="U34" s="26" t="n">
        <x:v>0</x:v>
      </x:c>
      <x:c r="V34" s="26" t="n">
        <x:v>0.5</x:v>
      </x:c>
      <x:c r="W34" s="26" t="n">
        <x:v>0</x:v>
      </x:c>
      <x:c r="X34" s="26" t="n">
        <x:v>0</x:v>
      </x:c>
      <x:c r="Y34" s="26" t="n">
        <x:v>0</x:v>
      </x:c>
      <x:c r="Z34" s="26" t="n">
        <x:v>0.5</x:v>
      </x:c>
      <x:c r="AA34" s="26" t="n">
        <x:v>0</x:v>
      </x:c>
      <x:c r="AB34" s="26" t="n">
        <x:v>0</x:v>
      </x:c>
      <x:c r="AC34" s="39" t="b">
        <x:v>1</x:v>
      </x:c>
      <x:c r="AD34" s="39" t="b">
        <x:v>0</x:v>
      </x:c>
      <x:c r="AE34" s="39" t="b">
        <x:v>0</x:v>
      </x:c>
      <x:c r="AF34" s="26" t="n">
        <x:v>0</x:v>
      </x:c>
      <x:c r="AG34" s="26" t="n">
        <x:v>0</x:v>
      </x:c>
      <x:c r="AH34" s="26" t="n">
        <x:v>146</x:v>
      </x:c>
      <x:c r="AI34" s="26"/>
      <x:c r="AJ34" s="26" t="str">
        <x:v>결합 근거 부족</x:v>
      </x:c>
      <x:c r="AK34" s="27" t="str">
        <x:v>판매발생률·매출이 두 단독 방식보다 모두 높다는 조건을 충족하지 못함</x:v>
      </x:c>
    </x:row>
    <x:row r="35">
      <x:c r="A35" s="25" t="str">
        <x:v>GROCERY</x:v>
      </x:c>
      <x:c r="B35" s="26" t="str">
        <x:v>MOLASSES/SYRUP/PANCAKE MIXS</x:v>
      </x:c>
      <x:c r="C35" s="26" t="n">
        <x:v>13</x:v>
      </x:c>
      <x:c r="D35" s="26" t="n">
        <x:v>13</x:v>
      </x:c>
      <x:c r="E35" s="26" t="n">
        <x:v>13</x:v>
      </x:c>
      <x:c r="F35" s="26" t="n">
        <x:v>0</x:v>
      </x:c>
      <x:c r="G35" s="26" t="n">
        <x:v>0</x:v>
      </x:c>
      <x:c r="H35" s="26" t="n">
        <x:v>0</x:v>
      </x:c>
      <x:c r="I35" s="26" t="n">
        <x:v>0.5</x:v>
      </x:c>
      <x:c r="J35" s="26" t="n">
        <x:v>0</x:v>
      </x:c>
      <x:c r="K35" s="26" t="n">
        <x:v>0</x:v>
      </x:c>
      <x:c r="L35" s="26" t="n">
        <x:v>0</x:v>
      </x:c>
      <x:c r="M35" s="26" t="n">
        <x:v>0.5</x:v>
      </x:c>
      <x:c r="N35" s="26" t="n">
        <x:v>0</x:v>
      </x:c>
      <x:c r="O35" s="26" t="n">
        <x:v>0</x:v>
      </x:c>
      <x:c r="P35" s="26" t="n">
        <x:v>1</x:v>
      </x:c>
      <x:c r="Q35" s="26" t="n">
        <x:v>1</x:v>
      </x:c>
      <x:c r="R35" s="26" t="n">
        <x:v>1</x:v>
      </x:c>
      <x:c r="S35" s="26" t="n">
        <x:v>0</x:v>
      </x:c>
      <x:c r="T35" s="26"/>
      <x:c r="U35" s="26"/>
      <x:c r="V35" s="26"/>
      <x:c r="W35" s="26" t="n">
        <x:v>0</x:v>
      </x:c>
      <x:c r="X35" s="26"/>
      <x:c r="Y35" s="26"/>
      <x:c r="Z35" s="26"/>
      <x:c r="AA35" s="26" t="n">
        <x:v>0</x:v>
      </x:c>
      <x:c r="AB35" s="26" t="n">
        <x:v>0</x:v>
      </x:c>
      <x:c r="AC35" s="39" t="b">
        <x:v>1</x:v>
      </x:c>
      <x:c r="AD35" s="39" t="b">
        <x:v>0</x:v>
      </x:c>
      <x:c r="AE35" s="39" t="b">
        <x:v>0</x:v>
      </x:c>
      <x:c r="AF35" s="26" t="n">
        <x:v>0</x:v>
      </x:c>
      <x:c r="AG35" s="26" t="n">
        <x:v>0</x:v>
      </x:c>
      <x:c r="AH35" s="26" t="n">
        <x:v>1</x:v>
      </x:c>
      <x:c r="AI35" s="26"/>
      <x:c r="AJ35" s="26" t="str">
        <x:v>결합 근거 부족</x:v>
      </x:c>
      <x:c r="AK35" s="27" t="str">
        <x:v>판매발생률·매출이 두 단독 방식보다 모두 높다는 조건을 충족하지 못함</x:v>
      </x:c>
    </x:row>
    <x:row r="36">
      <x:c r="A36" s="25" t="str">
        <x:v>GROCERY</x:v>
      </x:c>
      <x:c r="B36" s="26" t="str">
        <x:v>NEW AGE</x:v>
      </x:c>
      <x:c r="C36" s="26" t="n">
        <x:v>7</x:v>
      </x:c>
      <x:c r="D36" s="26" t="n">
        <x:v>185</x:v>
      </x:c>
      <x:c r="E36" s="26" t="n">
        <x:v>317</x:v>
      </x:c>
      <x:c r="F36" s="26" t="n">
        <x:v>0.0052910052910052855</x:v>
      </x:c>
      <x:c r="G36" s="26" t="n">
        <x:v>-0.005079365079365074</x:v>
      </x:c>
      <x:c r="H36" s="26" t="n">
        <x:v>0.015661375661375647</x:v>
      </x:c>
      <x:c r="I36" s="26" t="n">
        <x:v>0.15865525393145705</x:v>
      </x:c>
      <x:c r="J36" s="26" t="n">
        <x:v>0.018095238571428574</x:v>
      </x:c>
      <x:c r="K36" s="26" t="n">
        <x:v>-0.017371429028571427</x:v>
      </x:c>
      <x:c r="L36" s="26" t="n">
        <x:v>0.05356190617142857</x:v>
      </x:c>
      <x:c r="M36" s="26" t="n">
        <x:v>0.158655253931457</x:v>
      </x:c>
      <x:c r="N36" s="26" t="n">
        <x:v>0.14285714285714285</x:v>
      </x:c>
      <x:c r="O36" s="26" t="n">
        <x:v>0.14285714285714285</x:v>
      </x:c>
      <x:c r="P36" s="26" t="n">
        <x:v>1</x:v>
      </x:c>
      <x:c r="Q36" s="26" t="n">
        <x:v>23</x:v>
      </x:c>
      <x:c r="R36" s="26" t="n">
        <x:v>26</x:v>
      </x:c>
      <x:c r="S36" s="26" t="n">
        <x:v>0</x:v>
      </x:c>
      <x:c r="T36" s="26"/>
      <x:c r="U36" s="26"/>
      <x:c r="V36" s="26"/>
      <x:c r="W36" s="26" t="n">
        <x:v>0</x:v>
      </x:c>
      <x:c r="X36" s="26"/>
      <x:c r="Y36" s="26"/>
      <x:c r="Z36" s="26"/>
      <x:c r="AA36" s="26" t="n">
        <x:v>0</x:v>
      </x:c>
      <x:c r="AB36" s="26" t="n">
        <x:v>0</x:v>
      </x:c>
      <x:c r="AC36" s="39" t="b">
        <x:v>1</x:v>
      </x:c>
      <x:c r="AD36" s="39" t="b">
        <x:v>0</x:v>
      </x:c>
      <x:c r="AE36" s="39" t="b">
        <x:v>0</x:v>
      </x:c>
      <x:c r="AF36" s="26" t="n">
        <x:v>0</x:v>
      </x:c>
      <x:c r="AG36" s="26" t="n">
        <x:v>0</x:v>
      </x:c>
      <x:c r="AH36" s="26" t="n">
        <x:v>26</x:v>
      </x:c>
      <x:c r="AI36" s="26"/>
      <x:c r="AJ36" s="26" t="str">
        <x:v>결합 근거 부족</x:v>
      </x:c>
      <x:c r="AK36" s="27" t="str">
        <x:v>판매발생률·매출이 두 단독 방식보다 모두 높다는 조건을 충족하지 못함</x:v>
      </x:c>
    </x:row>
    <x:row r="37">
      <x:c r="A37" s="25" t="str">
        <x:v>GROCERY</x:v>
      </x:c>
      <x:c r="B37" s="26" t="str">
        <x:v>PET CARE SUPPLIES</x:v>
      </x:c>
      <x:c r="C37" s="26" t="n">
        <x:v>12</x:v>
      </x:c>
      <x:c r="D37" s="26" t="n">
        <x:v>99</x:v>
      </x:c>
      <x:c r="E37" s="26" t="n">
        <x:v>175</x:v>
      </x:c>
      <x:c r="F37" s="26" t="n">
        <x:v>0</x:v>
      </x:c>
      <x:c r="G37" s="26" t="n">
        <x:v>0</x:v>
      </x:c>
      <x:c r="H37" s="26" t="n">
        <x:v>0</x:v>
      </x:c>
      <x:c r="I37" s="26" t="n">
        <x:v>0.5</x:v>
      </x:c>
      <x:c r="J37" s="26" t="n">
        <x:v>0</x:v>
      </x:c>
      <x:c r="K37" s="26" t="n">
        <x:v>0</x:v>
      </x:c>
      <x:c r="L37" s="26" t="n">
        <x:v>0</x:v>
      </x:c>
      <x:c r="M37" s="26" t="n">
        <x:v>0.5</x:v>
      </x:c>
      <x:c r="N37" s="26" t="n">
        <x:v>0</x:v>
      </x:c>
      <x:c r="O37" s="26" t="n">
        <x:v>0</x:v>
      </x:c>
      <x:c r="P37" s="26" t="n">
        <x:v>11</x:v>
      </x:c>
      <x:c r="Q37" s="26" t="n">
        <x:v>66</x:v>
      </x:c>
      <x:c r="R37" s="26" t="n">
        <x:v>66</x:v>
      </x:c>
      <x:c r="S37" s="26" t="n">
        <x:v>0</x:v>
      </x:c>
      <x:c r="T37" s="26" t="n">
        <x:v>0</x:v>
      </x:c>
      <x:c r="U37" s="26" t="n">
        <x:v>0</x:v>
      </x:c>
      <x:c r="V37" s="26" t="n">
        <x:v>0.5</x:v>
      </x:c>
      <x:c r="W37" s="26" t="n">
        <x:v>0</x:v>
      </x:c>
      <x:c r="X37" s="26" t="n">
        <x:v>0</x:v>
      </x:c>
      <x:c r="Y37" s="26" t="n">
        <x:v>0</x:v>
      </x:c>
      <x:c r="Z37" s="26" t="n">
        <x:v>0.5</x:v>
      </x:c>
      <x:c r="AA37" s="26" t="n">
        <x:v>0</x:v>
      </x:c>
      <x:c r="AB37" s="26" t="n">
        <x:v>0</x:v>
      </x:c>
      <x:c r="AC37" s="39" t="b">
        <x:v>1</x:v>
      </x:c>
      <x:c r="AD37" s="39" t="b">
        <x:v>0</x:v>
      </x:c>
      <x:c r="AE37" s="39" t="b">
        <x:v>0</x:v>
      </x:c>
      <x:c r="AF37" s="26" t="n">
        <x:v>0</x:v>
      </x:c>
      <x:c r="AG37" s="26" t="n">
        <x:v>0</x:v>
      </x:c>
      <x:c r="AH37" s="26" t="n">
        <x:v>66</x:v>
      </x:c>
      <x:c r="AI37" s="26"/>
      <x:c r="AJ37" s="26" t="str">
        <x:v>결합 근거 부족</x:v>
      </x:c>
      <x:c r="AK37" s="27" t="str">
        <x:v>판매발생률·매출이 두 단독 방식보다 모두 높다는 조건을 충족하지 못함</x:v>
      </x:c>
    </x:row>
    <x:row r="38">
      <x:c r="A38" s="25" t="str">
        <x:v>GROCERY</x:v>
      </x:c>
      <x:c r="B38" s="26" t="str">
        <x:v>TEAS</x:v>
      </x:c>
      <x:c r="C38" s="26" t="n">
        <x:v>11</x:v>
      </x:c>
      <x:c r="D38" s="26" t="n">
        <x:v>29</x:v>
      </x:c>
      <x:c r="E38" s="26" t="n">
        <x:v>34</x:v>
      </x:c>
      <x:c r="F38" s="26" t="n">
        <x:v>0</x:v>
      </x:c>
      <x:c r="G38" s="26" t="n">
        <x:v>0</x:v>
      </x:c>
      <x:c r="H38" s="26" t="n">
        <x:v>0</x:v>
      </x:c>
      <x:c r="I38" s="26" t="n">
        <x:v>0.5</x:v>
      </x:c>
      <x:c r="J38" s="26" t="n">
        <x:v>0</x:v>
      </x:c>
      <x:c r="K38" s="26" t="n">
        <x:v>0</x:v>
      </x:c>
      <x:c r="L38" s="26" t="n">
        <x:v>0</x:v>
      </x:c>
      <x:c r="M38" s="26" t="n">
        <x:v>0.5</x:v>
      </x:c>
      <x:c r="N38" s="26" t="n">
        <x:v>0</x:v>
      </x:c>
      <x:c r="O38" s="26" t="n">
        <x:v>0</x:v>
      </x:c>
      <x:c r="P38" s="26" t="n">
        <x:v>5</x:v>
      </x:c>
      <x:c r="Q38" s="26" t="n">
        <x:v>10</x:v>
      </x:c>
      <x:c r="R38" s="26" t="n">
        <x:v>10</x:v>
      </x:c>
      <x:c r="S38" s="26" t="n">
        <x:v>0</x:v>
      </x:c>
      <x:c r="T38" s="26" t="n">
        <x:v>0</x:v>
      </x:c>
      <x:c r="U38" s="26" t="n">
        <x:v>0</x:v>
      </x:c>
      <x:c r="V38" s="26" t="n">
        <x:v>0.5</x:v>
      </x:c>
      <x:c r="W38" s="26" t="n">
        <x:v>0</x:v>
      </x:c>
      <x:c r="X38" s="26" t="n">
        <x:v>0</x:v>
      </x:c>
      <x:c r="Y38" s="26" t="n">
        <x:v>0</x:v>
      </x:c>
      <x:c r="Z38" s="26" t="n">
        <x:v>0.5</x:v>
      </x:c>
      <x:c r="AA38" s="26" t="n">
        <x:v>0</x:v>
      </x:c>
      <x:c r="AB38" s="26" t="n">
        <x:v>0</x:v>
      </x:c>
      <x:c r="AC38" s="39" t="b">
        <x:v>1</x:v>
      </x:c>
      <x:c r="AD38" s="39" t="b">
        <x:v>0</x:v>
      </x:c>
      <x:c r="AE38" s="39" t="b">
        <x:v>0</x:v>
      </x:c>
      <x:c r="AF38" s="26" t="n">
        <x:v>0</x:v>
      </x:c>
      <x:c r="AG38" s="26" t="n">
        <x:v>0</x:v>
      </x:c>
      <x:c r="AH38" s="26" t="n">
        <x:v>10</x:v>
      </x:c>
      <x:c r="AI38" s="26"/>
      <x:c r="AJ38" s="26" t="str">
        <x:v>결합 근거 부족</x:v>
      </x:c>
      <x:c r="AK38" s="27" t="str">
        <x:v>판매발생률·매출이 두 단독 방식보다 모두 높다는 조건을 충족하지 못함</x:v>
      </x:c>
    </x:row>
    <x:row r="39">
      <x:c r="A39" s="25" t="str">
        <x:v>MEAT</x:v>
      </x:c>
      <x:c r="B39" s="26" t="str">
        <x:v>EXOTIC GAME/FOWL</x:v>
      </x:c>
      <x:c r="C39" s="26" t="n">
        <x:v>2</x:v>
      </x:c>
      <x:c r="D39" s="26" t="n">
        <x:v>56</x:v>
      </x:c>
      <x:c r="E39" s="26" t="n">
        <x:v>146</x:v>
      </x:c>
      <x:c r="F39" s="26" t="n">
        <x:v>0.0052884615384615</x:v>
      </x:c>
      <x:c r="G39" s="26" t="n">
        <x:v>-0.005076923076923039</x:v>
      </x:c>
      <x:c r="H39" s="26" t="n">
        <x:v>0.01565384615384604</x:v>
      </x:c>
      <x:c r="I39" s="26" t="n">
        <x:v>0.15865525393145705</x:v>
      </x:c>
      <x:c r="J39" s="26" t="n">
        <x:v>0.0287692265</x:v>
      </x:c>
      <x:c r="K39" s="26" t="n">
        <x:v>-0.027618457439999994</x:v>
      </x:c>
      <x:c r="L39" s="26" t="n">
        <x:v>0.08515691044</x:v>
      </x:c>
      <x:c r="M39" s="26" t="n">
        <x:v>0.158655253931457</x:v>
      </x:c>
      <x:c r="N39" s="26" t="n">
        <x:v>0.5</x:v>
      </x:c>
      <x:c r="O39" s="26" t="n">
        <x:v>0.5</x:v>
      </x:c>
      <x:c r="P39" s="26" t="n">
        <x:v>2</x:v>
      </x:c>
      <x:c r="Q39" s="26" t="n">
        <x:v>25</x:v>
      </x:c>
      <x:c r="R39" s="26" t="n">
        <x:v>26</x:v>
      </x:c>
      <x:c r="S39" s="26" t="n">
        <x:v>0</x:v>
      </x:c>
      <x:c r="T39" s="26" t="n">
        <x:v>0</x:v>
      </x:c>
      <x:c r="U39" s="26" t="n">
        <x:v>0</x:v>
      </x:c>
      <x:c r="V39" s="26" t="n">
        <x:v>0.5</x:v>
      </x:c>
      <x:c r="W39" s="26" t="n">
        <x:v>0</x:v>
      </x:c>
      <x:c r="X39" s="26" t="n">
        <x:v>0</x:v>
      </x:c>
      <x:c r="Y39" s="26" t="n">
        <x:v>0</x:v>
      </x:c>
      <x:c r="Z39" s="26" t="n">
        <x:v>0.5</x:v>
      </x:c>
      <x:c r="AA39" s="26" t="n">
        <x:v>0</x:v>
      </x:c>
      <x:c r="AB39" s="26" t="n">
        <x:v>0</x:v>
      </x:c>
      <x:c r="AC39" s="39" t="b">
        <x:v>1</x:v>
      </x:c>
      <x:c r="AD39" s="39" t="b">
        <x:v>0</x:v>
      </x:c>
      <x:c r="AE39" s="39" t="b">
        <x:v>0</x:v>
      </x:c>
      <x:c r="AF39" s="26" t="n">
        <x:v>0</x:v>
      </x:c>
      <x:c r="AG39" s="26" t="n">
        <x:v>0</x:v>
      </x:c>
      <x:c r="AH39" s="26" t="n">
        <x:v>26</x:v>
      </x:c>
      <x:c r="AI39" s="26"/>
      <x:c r="AJ39" s="26" t="str">
        <x:v>결합 근거 부족</x:v>
      </x:c>
      <x:c r="AK39" s="27" t="str">
        <x:v>판매발생률·매출이 두 단독 방식보다 모두 높다는 조건을 충족하지 못함</x:v>
      </x:c>
    </x:row>
    <x:row r="40">
      <x:c r="A40" s="25" t="str">
        <x:v>MEAT</x:v>
      </x:c>
      <x:c r="B40" s="26" t="str">
        <x:v>PORK</x:v>
      </x:c>
      <x:c r="C40" s="26" t="n">
        <x:v>5</x:v>
      </x:c>
      <x:c r="D40" s="26" t="n">
        <x:v>12</x:v>
      </x:c>
      <x:c r="E40" s="26" t="n">
        <x:v>15</x:v>
      </x:c>
      <x:c r="F40" s="26" t="n">
        <x:v>0</x:v>
      </x:c>
      <x:c r="G40" s="26" t="n">
        <x:v>0</x:v>
      </x:c>
      <x:c r="H40" s="26" t="n">
        <x:v>0</x:v>
      </x:c>
      <x:c r="I40" s="26" t="n">
        <x:v>0.5</x:v>
      </x:c>
      <x:c r="J40" s="26" t="n">
        <x:v>0</x:v>
      </x:c>
      <x:c r="K40" s="26" t="n">
        <x:v>0</x:v>
      </x:c>
      <x:c r="L40" s="26" t="n">
        <x:v>0</x:v>
      </x:c>
      <x:c r="M40" s="26" t="n">
        <x:v>0.5</x:v>
      </x:c>
      <x:c r="N40" s="26" t="n">
        <x:v>0</x:v>
      </x:c>
      <x:c r="O40" s="26" t="n">
        <x:v>0</x:v>
      </x:c>
      <x:c r="P40" s="26" t="n">
        <x:v>1</x:v>
      </x:c>
      <x:c r="Q40" s="26" t="n">
        <x:v>8</x:v>
      </x:c>
      <x:c r="R40" s="26" t="n">
        <x:v>8</x:v>
      </x:c>
      <x:c r="S40" s="26" t="n">
        <x:v>0</x:v>
      </x:c>
      <x:c r="T40" s="26"/>
      <x:c r="U40" s="26"/>
      <x:c r="V40" s="26"/>
      <x:c r="W40" s="26" t="n">
        <x:v>0</x:v>
      </x:c>
      <x:c r="X40" s="26"/>
      <x:c r="Y40" s="26"/>
      <x:c r="Z40" s="26"/>
      <x:c r="AA40" s="26" t="n">
        <x:v>0</x:v>
      </x:c>
      <x:c r="AB40" s="26" t="n">
        <x:v>0</x:v>
      </x:c>
      <x:c r="AC40" s="39" t="b">
        <x:v>1</x:v>
      </x:c>
      <x:c r="AD40" s="39" t="b">
        <x:v>0</x:v>
      </x:c>
      <x:c r="AE40" s="39" t="b">
        <x:v>0</x:v>
      </x:c>
      <x:c r="AF40" s="26" t="n">
        <x:v>0</x:v>
      </x:c>
      <x:c r="AG40" s="26" t="n">
        <x:v>0</x:v>
      </x:c>
      <x:c r="AH40" s="26" t="n">
        <x:v>8</x:v>
      </x:c>
      <x:c r="AI40" s="26"/>
      <x:c r="AJ40" s="26" t="str">
        <x:v>결합 근거 부족</x:v>
      </x:c>
      <x:c r="AK40" s="27" t="str">
        <x:v>판매발생률·매출이 두 단독 방식보다 모두 높다는 조건을 충족하지 못함</x:v>
      </x:c>
    </x:row>
    <x:row r="41">
      <x:c r="A41" s="25" t="str">
        <x:v>MISC. TRANS.</x:v>
      </x:c>
      <x:c r="B41" s="26" t="str">
        <x:v>NO COMMODITY DESCRIPTION</x:v>
      </x:c>
      <x:c r="C41" s="26" t="n">
        <x:v>3</x:v>
      </x:c>
      <x:c r="D41" s="26" t="n">
        <x:v>7</x:v>
      </x:c>
      <x:c r="E41" s="26" t="n">
        <x:v>8</x:v>
      </x:c>
      <x:c r="F41" s="26" t="n">
        <x:v>0</x:v>
      </x:c>
      <x:c r="G41" s="26" t="n">
        <x:v>0</x:v>
      </x:c>
      <x:c r="H41" s="26" t="n">
        <x:v>0</x:v>
      </x:c>
      <x:c r="I41" s="26" t="n">
        <x:v>0.5</x:v>
      </x:c>
      <x:c r="J41" s="26" t="n">
        <x:v>0</x:v>
      </x:c>
      <x:c r="K41" s="26" t="n">
        <x:v>0</x:v>
      </x:c>
      <x:c r="L41" s="26" t="n">
        <x:v>0</x:v>
      </x:c>
      <x:c r="M41" s="26" t="n">
        <x:v>0.5</x:v>
      </x:c>
      <x:c r="N41" s="26" t="n">
        <x:v>0</x:v>
      </x:c>
      <x:c r="O41" s="26" t="n">
        <x:v>0</x:v>
      </x:c>
      <x:c r="P41" s="26" t="n">
        <x:v>3</x:v>
      </x:c>
      <x:c r="Q41" s="26" t="n">
        <x:v>6</x:v>
      </x:c>
      <x:c r="R41" s="26" t="n">
        <x:v>6</x:v>
      </x:c>
      <x:c r="S41" s="26" t="n">
        <x:v>0</x:v>
      </x:c>
      <x:c r="T41" s="26" t="n">
        <x:v>0</x:v>
      </x:c>
      <x:c r="U41" s="26" t="n">
        <x:v>0</x:v>
      </x:c>
      <x:c r="V41" s="26" t="n">
        <x:v>0.5</x:v>
      </x:c>
      <x:c r="W41" s="26" t="n">
        <x:v>0</x:v>
      </x:c>
      <x:c r="X41" s="26" t="n">
        <x:v>0</x:v>
      </x:c>
      <x:c r="Y41" s="26" t="n">
        <x:v>0</x:v>
      </x:c>
      <x:c r="Z41" s="26" t="n">
        <x:v>0.5</x:v>
      </x:c>
      <x:c r="AA41" s="26" t="n">
        <x:v>0</x:v>
      </x:c>
      <x:c r="AB41" s="26" t="n">
        <x:v>0</x:v>
      </x:c>
      <x:c r="AC41" s="39" t="b">
        <x:v>1</x:v>
      </x:c>
      <x:c r="AD41" s="39" t="b">
        <x:v>0</x:v>
      </x:c>
      <x:c r="AE41" s="39" t="b">
        <x:v>0</x:v>
      </x:c>
      <x:c r="AF41" s="26" t="n">
        <x:v>0</x:v>
      </x:c>
      <x:c r="AG41" s="26" t="n">
        <x:v>0</x:v>
      </x:c>
      <x:c r="AH41" s="26" t="n">
        <x:v>6</x:v>
      </x:c>
      <x:c r="AI41" s="26"/>
      <x:c r="AJ41" s="26" t="str">
        <x:v>결합 근거 부족</x:v>
      </x:c>
      <x:c r="AK41" s="27" t="str">
        <x:v>판매발생률·매출이 두 단독 방식보다 모두 높다는 조건을 충족하지 못함</x:v>
      </x:c>
    </x:row>
    <x:row r="42">
      <x:c r="A42" s="25" t="str">
        <x:v>NUTRITION</x:v>
      </x:c>
      <x:c r="B42" s="26" t="str">
        <x:v>FROZEN</x:v>
      </x:c>
      <x:c r="C42" s="26" t="n">
        <x:v>5</x:v>
      </x:c>
      <x:c r="D42" s="26" t="n">
        <x:v>5</x:v>
      </x:c>
      <x:c r="E42" s="26" t="n">
        <x:v>5</x:v>
      </x:c>
      <x:c r="F42" s="26" t="n">
        <x:v>0</x:v>
      </x:c>
      <x:c r="G42" s="26" t="n">
        <x:v>0</x:v>
      </x:c>
      <x:c r="H42" s="26" t="n">
        <x:v>0</x:v>
      </x:c>
      <x:c r="I42" s="26" t="n">
        <x:v>0.5</x:v>
      </x:c>
      <x:c r="J42" s="26" t="n">
        <x:v>0</x:v>
      </x:c>
      <x:c r="K42" s="26" t="n">
        <x:v>0</x:v>
      </x:c>
      <x:c r="L42" s="26" t="n">
        <x:v>0</x:v>
      </x:c>
      <x:c r="M42" s="26" t="n">
        <x:v>0.5</x:v>
      </x:c>
      <x:c r="N42" s="26" t="n">
        <x:v>0</x:v>
      </x:c>
      <x:c r="O42" s="26" t="n">
        <x:v>0</x:v>
      </x:c>
      <x:c r="P42" s="26" t="n">
        <x:v>8</x:v>
      </x:c>
      <x:c r="Q42" s="26" t="n">
        <x:v>8</x:v>
      </x:c>
      <x:c r="R42" s="26" t="n">
        <x:v>8</x:v>
      </x:c>
      <x:c r="S42" s="26" t="n">
        <x:v>0</x:v>
      </x:c>
      <x:c r="T42" s="26" t="n">
        <x:v>0</x:v>
      </x:c>
      <x:c r="U42" s="26" t="n">
        <x:v>0</x:v>
      </x:c>
      <x:c r="V42" s="26" t="n">
        <x:v>0.5</x:v>
      </x:c>
      <x:c r="W42" s="26" t="n">
        <x:v>0</x:v>
      </x:c>
      <x:c r="X42" s="26" t="n">
        <x:v>0</x:v>
      </x:c>
      <x:c r="Y42" s="26" t="n">
        <x:v>0</x:v>
      </x:c>
      <x:c r="Z42" s="26" t="n">
        <x:v>0.5</x:v>
      </x:c>
      <x:c r="AA42" s="26" t="n">
        <x:v>0</x:v>
      </x:c>
      <x:c r="AB42" s="26" t="n">
        <x:v>0</x:v>
      </x:c>
      <x:c r="AC42" s="39" t="b">
        <x:v>1</x:v>
      </x:c>
      <x:c r="AD42" s="39" t="b">
        <x:v>0</x:v>
      </x:c>
      <x:c r="AE42" s="39" t="b">
        <x:v>0</x:v>
      </x:c>
      <x:c r="AF42" s="26" t="n">
        <x:v>0</x:v>
      </x:c>
      <x:c r="AG42" s="26" t="n">
        <x:v>0</x:v>
      </x:c>
      <x:c r="AH42" s="26" t="n">
        <x:v>5</x:v>
      </x:c>
      <x:c r="AI42" s="26"/>
      <x:c r="AJ42" s="26" t="str">
        <x:v>결합 근거 부족</x:v>
      </x:c>
      <x:c r="AK42" s="27" t="str">
        <x:v>판매발생률·매출이 두 단독 방식보다 모두 높다는 조건을 충족하지 못함</x:v>
      </x:c>
    </x:row>
    <x:row r="43">
      <x:c r="A43" s="25" t="str">
        <x:v>POSTAL CENTER</x:v>
      </x:c>
      <x:c r="B43" s="26" t="str">
        <x:v>CANDY - PACKAGED</x:v>
      </x:c>
      <x:c r="C43" s="26" t="n">
        <x:v>1</x:v>
      </x:c>
      <x:c r="D43" s="26" t="n">
        <x:v>9</x:v>
      </x:c>
      <x:c r="E43" s="26" t="n">
        <x:v>15</x:v>
      </x:c>
      <x:c r="F43" s="26" t="n">
        <x:v>0</x:v>
      </x:c>
      <x:c r="G43" s="26"/>
      <x:c r="H43" s="26"/>
      <x:c r="I43" s="26"/>
      <x:c r="J43" s="26" t="n">
        <x:v>0</x:v>
      </x:c>
      <x:c r="K43" s="26"/>
      <x:c r="L43" s="26"/>
      <x:c r="M43" s="26"/>
      <x:c r="N43" s="26" t="n">
        <x:v>0</x:v>
      </x:c>
      <x:c r="O43" s="26" t="n">
        <x:v>0</x:v>
      </x:c>
      <x:c r="P43" s="26" t="n">
        <x:v>1</x:v>
      </x:c>
      <x:c r="Q43" s="26" t="n">
        <x:v>12</x:v>
      </x:c>
      <x:c r="R43" s="26" t="n">
        <x:v>17</x:v>
      </x:c>
      <x:c r="S43" s="26" t="n">
        <x:v>0</x:v>
      </x:c>
      <x:c r="T43" s="26"/>
      <x:c r="U43" s="26"/>
      <x:c r="V43" s="26"/>
      <x:c r="W43" s="26" t="n">
        <x:v>0</x:v>
      </x:c>
      <x:c r="X43" s="26"/>
      <x:c r="Y43" s="26"/>
      <x:c r="Z43" s="26"/>
      <x:c r="AA43" s="26" t="n">
        <x:v>0</x:v>
      </x:c>
      <x:c r="AB43" s="26" t="n">
        <x:v>0</x:v>
      </x:c>
      <x:c r="AC43" s="39" t="b">
        <x:v>1</x:v>
      </x:c>
      <x:c r="AD43" s="39" t="b">
        <x:v>0</x:v>
      </x:c>
      <x:c r="AE43" s="39" t="b">
        <x:v>0</x:v>
      </x:c>
      <x:c r="AF43" s="26" t="n">
        <x:v>0</x:v>
      </x:c>
      <x:c r="AG43" s="26" t="n">
        <x:v>0</x:v>
      </x:c>
      <x:c r="AH43" s="26" t="n">
        <x:v>15</x:v>
      </x:c>
      <x:c r="AI43" s="26"/>
      <x:c r="AJ43" s="26" t="str">
        <x:v>결합 근거 부족</x:v>
      </x:c>
      <x:c r="AK43" s="27" t="str">
        <x:v>판매발생률·매출이 두 단독 방식보다 모두 높다는 조건을 충족하지 못함</x:v>
      </x:c>
    </x:row>
    <x:row r="44">
      <x:c r="A44" s="25" t="str">
        <x:v>PRODUCE</x:v>
      </x:c>
      <x:c r="B44" s="26" t="str">
        <x:v>CITRUS</x:v>
      </x:c>
      <x:c r="C44" s="26" t="n">
        <x:v>16</x:v>
      </x:c>
      <x:c r="D44" s="26" t="n">
        <x:v>70</x:v>
      </x:c>
      <x:c r="E44" s="26" t="n">
        <x:v>155</x:v>
      </x:c>
      <x:c r="F44" s="26" t="n">
        <x:v>0.022569444444444437</x:v>
      </x:c>
      <x:c r="G44" s="26" t="n">
        <x:v>-0.01229865191194585</x:v>
      </x:c>
      <x:c r="H44" s="26" t="n">
        <x:v>0.05743754080083473</x:v>
      </x:c>
      <x:c r="I44" s="26" t="n">
        <x:v>0.10227937636027633</x:v>
      </x:c>
      <x:c r="J44" s="26" t="n">
        <x:v>0.1305555525</x:v>
      </x:c>
      <x:c r="K44" s="26" t="n">
        <x:v>-0.08565127490124821</x:v>
      </x:c>
      <x:c r="L44" s="26" t="n">
        <x:v>0.34676237990124825</x:v>
      </x:c>
      <x:c r="M44" s="26" t="n">
        <x:v>0.1182981014972417</x:v>
      </x:c>
      <x:c r="N44" s="26" t="n">
        <x:v>0.125</x:v>
      </x:c>
      <x:c r="O44" s="26" t="n">
        <x:v>0.125</x:v>
      </x:c>
      <x:c r="P44" s="26" t="n">
        <x:v>7</x:v>
      </x:c>
      <x:c r="Q44" s="26" t="n">
        <x:v>17</x:v>
      </x:c>
      <x:c r="R44" s="26" t="n">
        <x:v>17</x:v>
      </x:c>
      <x:c r="S44" s="26" t="n">
        <x:v>0</x:v>
      </x:c>
      <x:c r="T44" s="26" t="n">
        <x:v>0</x:v>
      </x:c>
      <x:c r="U44" s="26" t="n">
        <x:v>0</x:v>
      </x:c>
      <x:c r="V44" s="26" t="n">
        <x:v>0.5</x:v>
      </x:c>
      <x:c r="W44" s="26" t="n">
        <x:v>0</x:v>
      </x:c>
      <x:c r="X44" s="26" t="n">
        <x:v>0</x:v>
      </x:c>
      <x:c r="Y44" s="26" t="n">
        <x:v>0</x:v>
      </x:c>
      <x:c r="Z44" s="26" t="n">
        <x:v>0.5</x:v>
      </x:c>
      <x:c r="AA44" s="26" t="n">
        <x:v>0</x:v>
      </x:c>
      <x:c r="AB44" s="26" t="n">
        <x:v>0</x:v>
      </x:c>
      <x:c r="AC44" s="39" t="b">
        <x:v>1</x:v>
      </x:c>
      <x:c r="AD44" s="39" t="b">
        <x:v>0</x:v>
      </x:c>
      <x:c r="AE44" s="39" t="b">
        <x:v>0</x:v>
      </x:c>
      <x:c r="AF44" s="26" t="n">
        <x:v>0</x:v>
      </x:c>
      <x:c r="AG44" s="26" t="n">
        <x:v>0</x:v>
      </x:c>
      <x:c r="AH44" s="26" t="n">
        <x:v>17</x:v>
      </x:c>
      <x:c r="AI44" s="26"/>
      <x:c r="AJ44" s="26" t="str">
        <x:v>결합 근거 부족</x:v>
      </x:c>
      <x:c r="AK44" s="27" t="str">
        <x:v>판매발생률·매출이 두 단독 방식보다 모두 높다는 조건을 충족하지 못함</x:v>
      </x:c>
    </x:row>
    <x:row r="45">
      <x:c r="A45" s="25" t="str">
        <x:v>PRODUCE</x:v>
      </x:c>
      <x:c r="B45" s="26" t="str">
        <x:v>VALUE ADDED VEGETABLES</x:v>
      </x:c>
      <x:c r="C45" s="26" t="n">
        <x:v>5</x:v>
      </x:c>
      <x:c r="D45" s="26" t="n">
        <x:v>12</x:v>
      </x:c>
      <x:c r="E45" s="26" t="n">
        <x:v>14</x:v>
      </x:c>
      <x:c r="F45" s="26" t="n">
        <x:v>0</x:v>
      </x:c>
      <x:c r="G45" s="26" t="n">
        <x:v>0</x:v>
      </x:c>
      <x:c r="H45" s="26" t="n">
        <x:v>0</x:v>
      </x:c>
      <x:c r="I45" s="26" t="n">
        <x:v>0.5</x:v>
      </x:c>
      <x:c r="J45" s="26" t="n">
        <x:v>0</x:v>
      </x:c>
      <x:c r="K45" s="26" t="n">
        <x:v>0</x:v>
      </x:c>
      <x:c r="L45" s="26" t="n">
        <x:v>0</x:v>
      </x:c>
      <x:c r="M45" s="26" t="n">
        <x:v>0.5</x:v>
      </x:c>
      <x:c r="N45" s="26" t="n">
        <x:v>0</x:v>
      </x:c>
      <x:c r="O45" s="26" t="n">
        <x:v>0</x:v>
      </x:c>
      <x:c r="P45" s="26" t="n">
        <x:v>3</x:v>
      </x:c>
      <x:c r="Q45" s="26" t="n">
        <x:v>6</x:v>
      </x:c>
      <x:c r="R45" s="26" t="n">
        <x:v>10</x:v>
      </x:c>
      <x:c r="S45" s="26" t="n">
        <x:v>0</x:v>
      </x:c>
      <x:c r="T45" s="26" t="n">
        <x:v>0</x:v>
      </x:c>
      <x:c r="U45" s="26" t="n">
        <x:v>0</x:v>
      </x:c>
      <x:c r="V45" s="26" t="n">
        <x:v>0.5</x:v>
      </x:c>
      <x:c r="W45" s="26" t="n">
        <x:v>0</x:v>
      </x:c>
      <x:c r="X45" s="26" t="n">
        <x:v>0</x:v>
      </x:c>
      <x:c r="Y45" s="26" t="n">
        <x:v>0</x:v>
      </x:c>
      <x:c r="Z45" s="26" t="n">
        <x:v>0.5</x:v>
      </x:c>
      <x:c r="AA45" s="26" t="n">
        <x:v>0</x:v>
      </x:c>
      <x:c r="AB45" s="26" t="n">
        <x:v>0</x:v>
      </x:c>
      <x:c r="AC45" s="39" t="b">
        <x:v>1</x:v>
      </x:c>
      <x:c r="AD45" s="39" t="b">
        <x:v>0</x:v>
      </x:c>
      <x:c r="AE45" s="39" t="b">
        <x:v>0</x:v>
      </x:c>
      <x:c r="AF45" s="26" t="n">
        <x:v>0</x:v>
      </x:c>
      <x:c r="AG45" s="26" t="n">
        <x:v>0</x:v>
      </x:c>
      <x:c r="AH45" s="26" t="n">
        <x:v>10</x:v>
      </x:c>
      <x:c r="AI45" s="26"/>
      <x:c r="AJ45" s="26" t="str">
        <x:v>결합 근거 부족</x:v>
      </x:c>
      <x:c r="AK45" s="27" t="str">
        <x:v>판매발생률·매출이 두 단독 방식보다 모두 높다는 조건을 충족하지 못함</x:v>
      </x:c>
    </x:row>
    <x:row r="46">
      <x:c r="A46" s="25" t="str">
        <x:v>SEAFOOD-PCKGD</x:v>
      </x:c>
      <x:c r="B46" s="26" t="str">
        <x:v>SEAFOOD - MISC</x:v>
      </x:c>
      <x:c r="C46" s="26" t="n">
        <x:v>27</x:v>
      </x:c>
      <x:c r="D46" s="26" t="n">
        <x:v>402</x:v>
      </x:c>
      <x:c r="E46" s="26" t="n">
        <x:v>615</x:v>
      </x:c>
      <x:c r="F46" s="26" t="n">
        <x:v>0.018875311799437963</x:v>
      </x:c>
      <x:c r="G46" s="26" t="n">
        <x:v>-0.007245504082620091</x:v>
      </x:c>
      <x:c r="H46" s="26" t="n">
        <x:v>0.044996127681496016</x:v>
      </x:c>
      <x:c r="I46" s="26" t="n">
        <x:v>0.07833992484735906</x:v>
      </x:c>
      <x:c r="J46" s="26" t="n">
        <x:v>0.01872162277777778</x:v>
      </x:c>
      <x:c r="K46" s="26" t="n">
        <x:v>-0.007525495648871016</x:v>
      </x:c>
      <x:c r="L46" s="26" t="n">
        <x:v>0.04496874120442658</x:v>
      </x:c>
      <x:c r="M46" s="26" t="n">
        <x:v>0.08105133329231343</x:v>
      </x:c>
      <x:c r="N46" s="26" t="n">
        <x:v>0.1111111111111111</x:v>
      </x:c>
      <x:c r="O46" s="26" t="n">
        <x:v>0.1111111111111111</x:v>
      </x:c>
      <x:c r="P46" s="26" t="n">
        <x:v>14</x:v>
      </x:c>
      <x:c r="Q46" s="26" t="n">
        <x:v>78</x:v>
      </x:c>
      <x:c r="R46" s="26" t="n">
        <x:v>79</x:v>
      </x:c>
      <x:c r="S46" s="26" t="n">
        <x:v>0</x:v>
      </x:c>
      <x:c r="T46" s="26" t="n">
        <x:v>0</x:v>
      </x:c>
      <x:c r="U46" s="26" t="n">
        <x:v>0</x:v>
      </x:c>
      <x:c r="V46" s="26" t="n">
        <x:v>0.5</x:v>
      </x:c>
      <x:c r="W46" s="26" t="n">
        <x:v>0</x:v>
      </x:c>
      <x:c r="X46" s="26" t="n">
        <x:v>0</x:v>
      </x:c>
      <x:c r="Y46" s="26" t="n">
        <x:v>0</x:v>
      </x:c>
      <x:c r="Z46" s="26" t="n">
        <x:v>0.5</x:v>
      </x:c>
      <x:c r="AA46" s="26" t="n">
        <x:v>0</x:v>
      </x:c>
      <x:c r="AB46" s="26" t="n">
        <x:v>0</x:v>
      </x:c>
      <x:c r="AC46" s="39" t="b">
        <x:v>1</x:v>
      </x:c>
      <x:c r="AD46" s="39" t="b">
        <x:v>0</x:v>
      </x:c>
      <x:c r="AE46" s="39" t="b">
        <x:v>0</x:v>
      </x:c>
      <x:c r="AF46" s="26" t="n">
        <x:v>0</x:v>
      </x:c>
      <x:c r="AG46" s="26" t="n">
        <x:v>0</x:v>
      </x:c>
      <x:c r="AH46" s="26" t="n">
        <x:v>79</x:v>
      </x:c>
      <x:c r="AI46" s="26"/>
      <x:c r="AJ46" s="26" t="str">
        <x:v>결합 근거 부족</x:v>
      </x:c>
      <x:c r="AK46" s="27" t="str">
        <x:v>판매발생률·매출이 두 단독 방식보다 모두 높다는 조건을 충족하지 못함</x:v>
      </x:c>
    </x:row>
    <x:row r="47">
      <x:c r="A47" s="25" t="str">
        <x:v>SPIRITS</x:v>
      </x:c>
      <x:c r="B47" s="26" t="str">
        <x:v>LIQUOR</x:v>
      </x:c>
      <x:c r="C47" s="26" t="n">
        <x:v>20</x:v>
      </x:c>
      <x:c r="D47" s="26" t="n">
        <x:v>401</x:v>
      </x:c>
      <x:c r="E47" s="26" t="n">
        <x:v>604</x:v>
      </x:c>
      <x:c r="F47" s="26" t="n">
        <x:v>-0.0021105010295127003</x:v>
      </x:c>
      <x:c r="G47" s="26" t="n">
        <x:v>-0.011089273597712087</x:v>
      </x:c>
      <x:c r="H47" s="26" t="n">
        <x:v>0.006868271538686686</x:v>
      </x:c>
      <x:c r="I47" s="26" t="n">
        <x:v>0.6774955297365145</x:v>
      </x:c>
      <x:c r="J47" s="26" t="n">
        <x:v>0.0030295705000000007</x:v>
      </x:c>
      <x:c r="K47" s="26" t="n">
        <x:v>-0.05207391949084438</x:v>
      </x:c>
      <x:c r="L47" s="26" t="n">
        <x:v>0.058133060490844386</x:v>
      </x:c>
      <x:c r="M47" s="26" t="n">
        <x:v>0.45709299282152965</x:v>
      </x:c>
      <x:c r="N47" s="26" t="n">
        <x:v>0.1</x:v>
      </x:c>
      <x:c r="O47" s="26" t="n">
        <x:v>0.1</x:v>
      </x:c>
      <x:c r="P47" s="26" t="n">
        <x:v>4</x:v>
      </x:c>
      <x:c r="Q47" s="26" t="n">
        <x:v>28</x:v>
      </x:c>
      <x:c r="R47" s="26" t="n">
        <x:v>28</x:v>
      </x:c>
      <x:c r="S47" s="26" t="n">
        <x:v>0</x:v>
      </x:c>
      <x:c r="T47" s="26" t="n">
        <x:v>0</x:v>
      </x:c>
      <x:c r="U47" s="26" t="n">
        <x:v>0</x:v>
      </x:c>
      <x:c r="V47" s="26" t="n">
        <x:v>0.5</x:v>
      </x:c>
      <x:c r="W47" s="26" t="n">
        <x:v>0</x:v>
      </x:c>
      <x:c r="X47" s="26" t="n">
        <x:v>0</x:v>
      </x:c>
      <x:c r="Y47" s="26" t="n">
        <x:v>0</x:v>
      </x:c>
      <x:c r="Z47" s="26" t="n">
        <x:v>0.5</x:v>
      </x:c>
      <x:c r="AA47" s="26" t="n">
        <x:v>0</x:v>
      </x:c>
      <x:c r="AB47" s="26" t="n">
        <x:v>0</x:v>
      </x:c>
      <x:c r="AC47" s="39" t="b">
        <x:v>1</x:v>
      </x:c>
      <x:c r="AD47" s="39" t="b">
        <x:v>0</x:v>
      </x:c>
      <x:c r="AE47" s="39" t="b">
        <x:v>0</x:v>
      </x:c>
      <x:c r="AF47" s="26" t="n">
        <x:v>-0.0021105010295127003</x:v>
      </x:c>
      <x:c r="AG47" s="26" t="n">
        <x:v>0</x:v>
      </x:c>
      <x:c r="AH47" s="26" t="n">
        <x:v>28</x:v>
      </x:c>
      <x:c r="AI47" s="26"/>
      <x:c r="AJ47" s="26" t="str">
        <x:v>결합 근거 부족</x:v>
      </x:c>
      <x:c r="AK47" s="27" t="str">
        <x:v>판매발생률·매출이 두 단독 방식보다 모두 높다는 조건을 충족하지 못함</x:v>
      </x:c>
    </x:row>
    <x:row r="48">
      <x:c r="A48" s="25" t="str">
        <x:v>PASTRY</x:v>
      </x:c>
      <x:c r="B48" s="26" t="str">
        <x:v>ROLLS</x:v>
      </x:c>
      <x:c r="C48" s="26" t="n">
        <x:v>53</x:v>
      </x:c>
      <x:c r="D48" s="26" t="n">
        <x:v>541</x:v>
      </x:c>
      <x:c r="E48" s="26" t="n">
        <x:v>1913</x:v>
      </x:c>
      <x:c r="F48" s="26" t="n">
        <x:v>0.009204821948165664</x:v>
      </x:c>
      <x:c r="G48" s="26" t="n">
        <x:v>-0.011691085623161896</x:v>
      </x:c>
      <x:c r="H48" s="26" t="n">
        <x:v>0.030100729519493226</x:v>
      </x:c>
      <x:c r="I48" s="26" t="n">
        <x:v>0.19395978369421923</x:v>
      </x:c>
      <x:c r="J48" s="26" t="n">
        <x:v>0.0029160909622641504</x:v>
      </x:c>
      <x:c r="K48" s="26" t="n">
        <x:v>-0.03276591919768499</x:v>
      </x:c>
      <x:c r="L48" s="26" t="n">
        <x:v>0.0385981011222133</x:v>
      </x:c>
      <x:c r="M48" s="26" t="n">
        <x:v>0.43636970917165646</x:v>
      </x:c>
      <x:c r="N48" s="26" t="n">
        <x:v>0.11320754716981132</x:v>
      </x:c>
      <x:c r="O48" s="26" t="n">
        <x:v>0.1320754716981132</x:v>
      </x:c>
      <x:c r="P48" s="26" t="n">
        <x:v>33</x:v>
      </x:c>
      <x:c r="Q48" s="26" t="n">
        <x:v>804</x:v>
      </x:c>
      <x:c r="R48" s="26" t="n">
        <x:v>2549</x:v>
      </x:c>
      <x:c r="S48" s="26" t="n">
        <x:v>-0.0034590994891474914</x:v>
      </x:c>
      <x:c r="T48" s="26" t="n">
        <x:v>-0.009831807987360339</x:v>
      </x:c>
      <x:c r="U48" s="26" t="n">
        <x:v>0.0029136090090653567</x:v>
      </x:c>
      <x:c r="V48" s="26" t="n">
        <x:v>0.8563098144424381</x:v>
      </x:c>
      <x:c r="W48" s="26" t="n">
        <x:v>-0.0001647383333333333</x:v>
      </x:c>
      <x:c r="X48" s="26" t="n">
        <x:v>-0.014011866022908364</x:v>
      </x:c>
      <x:c r="Y48" s="26" t="n">
        <x:v>0.013682389356241699</x:v>
      </x:c>
      <x:c r="Z48" s="26" t="n">
        <x:v>0.5093016876768759</x:v>
      </x:c>
      <x:c r="AA48" s="26" t="n">
        <x:v>0.06060606060606061</x:v>
      </x:c>
      <x:c r="AB48" s="26" t="n">
        <x:v>0.09090909090909091</x:v>
      </x:c>
      <x:c r="AC48" s="39" t="b">
        <x:v>1</x:v>
      </x:c>
      <x:c r="AD48" s="39" t="b">
        <x:v>0</x:v>
      </x:c>
      <x:c r="AE48" s="39" t="b">
        <x:v>0</x:v>
      </x:c>
      <x:c r="AF48" s="26" t="n">
        <x:v>-0.0034590994891474914</x:v>
      </x:c>
      <x:c r="AG48" s="26" t="n">
        <x:v>-0.0001647383333333333</x:v>
      </x:c>
      <x:c r="AH48" s="26" t="n">
        <x:v>1913</x:v>
      </x:c>
      <x:c r="AI48" s="26"/>
      <x:c r="AJ48" s="26" t="str">
        <x:v>결합 근거 부족</x:v>
      </x:c>
      <x:c r="AK48" s="27" t="str">
        <x:v>판매발생률·매출이 두 단독 방식보다 모두 높다는 조건을 충족하지 못함</x:v>
      </x:c>
    </x:row>
    <x:row r="49">
      <x:c r="A49" s="25" t="str">
        <x:v>GROCERY</x:v>
      </x:c>
      <x:c r="B49" s="26" t="str">
        <x:v>SYRUPS/TOPPINGS</x:v>
      </x:c>
      <x:c r="C49" s="26" t="n">
        <x:v>13</x:v>
      </x:c>
      <x:c r="D49" s="26" t="n">
        <x:v>324</x:v>
      </x:c>
      <x:c r="E49" s="26" t="n">
        <x:v>478</x:v>
      </x:c>
      <x:c r="F49" s="26" t="n">
        <x:v>0.0009705781600883</x:v>
      </x:c>
      <x:c r="G49" s="26" t="n">
        <x:v>-0.003004815010468209</x:v>
      </x:c>
      <x:c r="H49" s="26" t="n">
        <x:v>0.004945971330644809</x:v>
      </x:c>
      <x:c r="I49" s="26" t="n">
        <x:v>0.3161375606927571</x:v>
      </x:c>
      <x:c r="J49" s="26" t="n">
        <x:v>0.0016208655384615384</x:v>
      </x:c>
      <x:c r="K49" s="26" t="n">
        <x:v>-0.005018041192459969</x:v>
      </x:c>
      <x:c r="L49" s="26" t="n">
        <x:v>0.008259772269383046</x:v>
      </x:c>
      <x:c r="M49" s="26" t="n">
        <x:v>0.31613756301538726</x:v>
      </x:c>
      <x:c r="N49" s="26" t="n">
        <x:v>0.07692307692307693</x:v>
      </x:c>
      <x:c r="O49" s="26" t="n">
        <x:v>0.07692307692307693</x:v>
      </x:c>
      <x:c r="P49" s="26" t="n">
        <x:v>13</x:v>
      </x:c>
      <x:c r="Q49" s="26" t="n">
        <x:v>212</x:v>
      </x:c>
      <x:c r="R49" s="26" t="n">
        <x:v>212</x:v>
      </x:c>
      <x:c r="S49" s="26" t="n">
        <x:v>-0.00032967032967033097</x:v>
      </x:c>
      <x:c r="T49" s="26" t="n">
        <x:v>-0.008742546719578467</x:v>
      </x:c>
      <x:c r="U49" s="26" t="n">
        <x:v>0.008083206060237803</x:v>
      </x:c>
      <x:c r="V49" s="26" t="n">
        <x:v>0.5306107994005163</x:v>
      </x:c>
      <x:c r="W49" s="26" t="n">
        <x:v>-0.0005505496153846151</x:v>
      </x:c>
      <x:c r="X49" s="26" t="n">
        <x:v>-0.014600052960447793</x:v>
      </x:c>
      <x:c r="Y49" s="26" t="n">
        <x:v>0.013498953729678562</x:v>
      </x:c>
      <x:c r="Z49" s="26" t="n">
        <x:v>0.5306108090390376</x:v>
      </x:c>
      <x:c r="AA49" s="26" t="n">
        <x:v>0.07692307692307693</x:v>
      </x:c>
      <x:c r="AB49" s="26" t="n">
        <x:v>0.07692307692307693</x:v>
      </x:c>
      <x:c r="AC49" s="39" t="b">
        <x:v>1</x:v>
      </x:c>
      <x:c r="AD49" s="39" t="b">
        <x:v>0</x:v>
      </x:c>
      <x:c r="AE49" s="39" t="b">
        <x:v>0</x:v>
      </x:c>
      <x:c r="AF49" s="26" t="n">
        <x:v>-0.00032967032967033097</x:v>
      </x:c>
      <x:c r="AG49" s="26" t="n">
        <x:v>-0.0005505496153846151</x:v>
      </x:c>
      <x:c r="AH49" s="26" t="n">
        <x:v>212</x:v>
      </x:c>
      <x:c r="AI49" s="26"/>
      <x:c r="AJ49" s="26" t="str">
        <x:v>결합 근거 부족</x:v>
      </x:c>
      <x:c r="AK49" s="27" t="str">
        <x:v>판매발생률·매출이 두 단독 방식보다 모두 높다는 조건을 충족하지 못함</x:v>
      </x:c>
    </x:row>
    <x:row r="50">
      <x:c r="A50" s="25" t="str">
        <x:v>DRUG GM</x:v>
      </x:c>
      <x:c r="B50" s="26" t="str">
        <x:v>ORAL HYGIENE PRODUCTS</x:v>
      </x:c>
      <x:c r="C50" s="26" t="n">
        <x:v>302</x:v>
      </x:c>
      <x:c r="D50" s="26" t="n">
        <x:v>8697</x:v>
      </x:c>
      <x:c r="E50" s="26" t="n">
        <x:v>15882</x:v>
      </x:c>
      <x:c r="F50" s="26" t="n">
        <x:v>0.005062240038930372</x:v>
      </x:c>
      <x:c r="G50" s="26" t="n">
        <x:v>0.0019087717755117031</x:v>
      </x:c>
      <x:c r="H50" s="26" t="n">
        <x:v>0.00821570830234904</x:v>
      </x:c>
      <x:c r="I50" s="26" t="n">
        <x:v>0.0008265424251159061</x:v>
      </x:c>
      <x:c r="J50" s="26" t="n">
        <x:v>0.040205857420198665</x:v>
      </x:c>
      <x:c r="K50" s="26" t="n">
        <x:v>-0.018673323331589886</x:v>
      </x:c>
      <x:c r="L50" s="26" t="n">
        <x:v>0.09908503817198722</x:v>
      </x:c>
      <x:c r="M50" s="26" t="n">
        <x:v>0.09038418759020843</x:v>
      </x:c>
      <x:c r="N50" s="26" t="n">
        <x:v>0.18874172185430463</x:v>
      </x:c>
      <x:c r="O50" s="26" t="n">
        <x:v>0.18543046357615894</x:v>
      </x:c>
      <x:c r="P50" s="26" t="n">
        <x:v>170</x:v>
      </x:c>
      <x:c r="Q50" s="26" t="n">
        <x:v>4446</x:v>
      </x:c>
      <x:c r="R50" s="26" t="n">
        <x:v>7139</x:v>
      </x:c>
      <x:c r="S50" s="26" t="n">
        <x:v>0.0002540453346883948</x:v>
      </x:c>
      <x:c r="T50" s="26" t="n">
        <x:v>-0.002744572439838386</x:v>
      </x:c>
      <x:c r="U50" s="26" t="n">
        <x:v>0.0032526631092151754</x:v>
      </x:c>
      <x:c r="V50" s="26" t="n">
        <x:v>0.4340577020909225</x:v>
      </x:c>
      <x:c r="W50" s="26" t="n">
        <x:v>-0.0005724891749999995</x:v>
      </x:c>
      <x:c r="X50" s="26" t="n">
        <x:v>-0.010521062244037562</x:v>
      </x:c>
      <x:c r="Y50" s="26" t="n">
        <x:v>0.009376083894037563</x:v>
      </x:c>
      <x:c r="Z50" s="26" t="n">
        <x:v>0.5449006489595917</x:v>
      </x:c>
      <x:c r="AA50" s="26" t="n">
        <x:v>0.10588235294117647</x:v>
      </x:c>
      <x:c r="AB50" s="26" t="n">
        <x:v>0.11176470588235295</x:v>
      </x:c>
      <x:c r="AC50" s="39" t="b">
        <x:v>1</x:v>
      </x:c>
      <x:c r="AD50" s="39" t="b">
        <x:v>0</x:v>
      </x:c>
      <x:c r="AE50" s="39" t="b">
        <x:v>0</x:v>
      </x:c>
      <x:c r="AF50" s="26" t="n">
        <x:v>0.0002540453346883948</x:v>
      </x:c>
      <x:c r="AG50" s="26" t="n">
        <x:v>-0.0005724891749999995</x:v>
      </x:c>
      <x:c r="AH50" s="26" t="n">
        <x:v>7139</x:v>
      </x:c>
      <x:c r="AI50" s="26"/>
      <x:c r="AJ50" s="26" t="str">
        <x:v>결합 근거 부족</x:v>
      </x:c>
      <x:c r="AK50" s="27" t="str">
        <x:v>판매발생률·매출이 두 단독 방식보다 모두 높다는 조건을 충족하지 못함</x:v>
      </x:c>
    </x:row>
    <x:row r="51">
      <x:c r="A51" s="25" t="str">
        <x:v>GROCERY</x:v>
      </x:c>
      <x:c r="B51" s="26" t="str">
        <x:v>DISHWASH DETERGENTS</x:v>
      </x:c>
      <x:c r="C51" s="26" t="n">
        <x:v>71</x:v>
      </x:c>
      <x:c r="D51" s="26" t="n">
        <x:v>1044</x:v>
      </x:c>
      <x:c r="E51" s="26" t="n">
        <x:v>1254</x:v>
      </x:c>
      <x:c r="F51" s="26" t="n">
        <x:v>0.0068002966136043765</x:v>
      </x:c>
      <x:c r="G51" s="26" t="n">
        <x:v>-0.0006590495987675981</x:v>
      </x:c>
      <x:c r="H51" s="26" t="n">
        <x:v>0.014259642825976351</x:v>
      </x:c>
      <x:c r="I51" s="26" t="n">
        <x:v>0.03698250867144769</x:v>
      </x:c>
      <x:c r="J51" s="26" t="n">
        <x:v>0.01587111343661972</x:v>
      </x:c>
      <x:c r="K51" s="26" t="n">
        <x:v>-0.004832112558196974</x:v>
      </x:c>
      <x:c r="L51" s="26" t="n">
        <x:v>0.03657433943143641</x:v>
      </x:c>
      <x:c r="M51" s="26" t="n">
        <x:v>0.06647911987927856</x:v>
      </x:c>
      <x:c r="N51" s="26" t="n">
        <x:v>0.09859154929577464</x:v>
      </x:c>
      <x:c r="O51" s="26" t="n">
        <x:v>0.09859154929577464</x:v>
      </x:c>
      <x:c r="P51" s="26" t="n">
        <x:v>24</x:v>
      </x:c>
      <x:c r="Q51" s="26" t="n">
        <x:v>287</x:v>
      </x:c>
      <x:c r="R51" s="26" t="n">
        <x:v>287</x:v>
      </x:c>
      <x:c r="S51" s="26" t="n">
        <x:v>-0.0019097222222222252</x:v>
      </x:c>
      <x:c r="T51" s="26" t="n">
        <x:v>-0.010564512365732763</x:v>
      </x:c>
      <x:c r="U51" s="26" t="n">
        <x:v>0.0067450679212883126</x:v>
      </x:c>
      <x:c r="V51" s="26" t="n">
        <x:v>0.6673050471777113</x:v>
      </x:c>
      <x:c r="W51" s="26" t="n">
        <x:v>-0.0010972225000000005</x:v>
      </x:c>
      <x:c r="X51" s="26" t="n">
        <x:v>-0.02237659131882668</x:v>
      </x:c>
      <x:c r="Y51" s="26" t="n">
        <x:v>0.02018214631882668</x:v>
      </x:c>
      <x:c r="Z51" s="26" t="n">
        <x:v>0.5402497613223898</x:v>
      </x:c>
      <x:c r="AA51" s="26" t="n">
        <x:v>0.041666666666666664</x:v>
      </x:c>
      <x:c r="AB51" s="26" t="n">
        <x:v>0.041666666666666664</x:v>
      </x:c>
      <x:c r="AC51" s="39" t="b">
        <x:v>1</x:v>
      </x:c>
      <x:c r="AD51" s="39" t="b">
        <x:v>0</x:v>
      </x:c>
      <x:c r="AE51" s="39" t="b">
        <x:v>0</x:v>
      </x:c>
      <x:c r="AF51" s="26" t="n">
        <x:v>-0.0019097222222222252</x:v>
      </x:c>
      <x:c r="AG51" s="26" t="n">
        <x:v>-0.0010972225000000005</x:v>
      </x:c>
      <x:c r="AH51" s="26" t="n">
        <x:v>287</x:v>
      </x:c>
      <x:c r="AI51" s="26"/>
      <x:c r="AJ51" s="26" t="str">
        <x:v>결합 근거 부족</x:v>
      </x:c>
      <x:c r="AK51" s="27" t="str">
        <x:v>판매발생률·매출이 두 단독 방식보다 모두 높다는 조건을 충족하지 못함</x:v>
      </x:c>
    </x:row>
    <x:row r="52">
      <x:c r="A52" s="25" t="str">
        <x:v>PRODUCE</x:v>
      </x:c>
      <x:c r="B52" s="26" t="str">
        <x:v>POPCORN</x:v>
      </x:c>
      <x:c r="C52" s="26" t="n">
        <x:v>72</x:v>
      </x:c>
      <x:c r="D52" s="26" t="n">
        <x:v>1621</x:v>
      </x:c>
      <x:c r="E52" s="26" t="n">
        <x:v>3264</x:v>
      </x:c>
      <x:c r="F52" s="26" t="n">
        <x:v>0.012115024769981888</x:v>
      </x:c>
      <x:c r="G52" s="26" t="n">
        <x:v>-0.0018296597306521629</x:v>
      </x:c>
      <x:c r="H52" s="26" t="n">
        <x:v>0.02605970927061594</x:v>
      </x:c>
      <x:c r="I52" s="26" t="n">
        <x:v>0.04429979953087681</x:v>
      </x:c>
      <x:c r="J52" s="26" t="n">
        <x:v>0.018345912025</x:v>
      </x:c>
      <x:c r="K52" s="26" t="n">
        <x:v>-0.015393083731968016</x:v>
      </x:c>
      <x:c r="L52" s="26" t="n">
        <x:v>0.05208490778196802</x:v>
      </x:c>
      <x:c r="M52" s="26" t="n">
        <x:v>0.14326395972783304</x:v>
      </x:c>
      <x:c r="N52" s="26" t="n">
        <x:v>0.1527777777777778</x:v>
      </x:c>
      <x:c r="O52" s="26" t="n">
        <x:v>0.125</x:v>
      </x:c>
      <x:c r="P52" s="26" t="n">
        <x:v>53</x:v>
      </x:c>
      <x:c r="Q52" s="26" t="n">
        <x:v>1102</x:v>
      </x:c>
      <x:c r="R52" s="26" t="n">
        <x:v>1393</x:v>
      </x:c>
      <x:c r="S52" s="26" t="n">
        <x:v>-0.0020654806960809283</x:v>
      </x:c>
      <x:c r="T52" s="26" t="n">
        <x:v>-0.020105091306574265</x:v>
      </x:c>
      <x:c r="U52" s="26" t="n">
        <x:v>0.01597412991441241</x:v>
      </x:c>
      <x:c r="V52" s="26" t="n">
        <x:v>0.5887824322954079</x:v>
      </x:c>
      <x:c r="W52" s="26" t="n">
        <x:v>-0.0013150821886792452</x:v>
      </x:c>
      <x:c r="X52" s="26" t="n">
        <x:v>-0.033361708693368346</x:v>
      </x:c>
      <x:c r="Y52" s="26" t="n">
        <x:v>0.030731544316009853</x:v>
      </x:c>
      <x:c r="Z52" s="26" t="n">
        <x:v>0.5320529980276779</x:v>
      </x:c>
      <x:c r="AA52" s="26" t="n">
        <x:v>0.03773584905660377</x:v>
      </x:c>
      <x:c r="AB52" s="26" t="n">
        <x:v>0.05660377358490566</x:v>
      </x:c>
      <x:c r="AC52" s="39" t="b">
        <x:v>1</x:v>
      </x:c>
      <x:c r="AD52" s="39" t="b">
        <x:v>0</x:v>
      </x:c>
      <x:c r="AE52" s="39" t="b">
        <x:v>0</x:v>
      </x:c>
      <x:c r="AF52" s="26" t="n">
        <x:v>-0.0020654806960809283</x:v>
      </x:c>
      <x:c r="AG52" s="26" t="n">
        <x:v>-0.0013150821886792452</x:v>
      </x:c>
      <x:c r="AH52" s="26" t="n">
        <x:v>1393</x:v>
      </x:c>
      <x:c r="AI52" s="26"/>
      <x:c r="AJ52" s="26" t="str">
        <x:v>결합 근거 부족</x:v>
      </x:c>
      <x:c r="AK52" s="27" t="str">
        <x:v>판매발생률·매출이 두 단독 방식보다 모두 높다는 조건을 충족하지 못함</x:v>
      </x:c>
    </x:row>
    <x:row r="53">
      <x:c r="A53" s="25" t="str">
        <x:v>DRUG GM</x:v>
      </x:c>
      <x:c r="B53" s="26" t="str">
        <x:v>SINUS AND ALLERGY</x:v>
      </x:c>
      <x:c r="C53" s="26" t="n">
        <x:v>57</x:v>
      </x:c>
      <x:c r="D53" s="26" t="n">
        <x:v>816</x:v>
      </x:c>
      <x:c r="E53" s="26" t="n">
        <x:v>1263</x:v>
      </x:c>
      <x:c r="F53" s="26" t="n">
        <x:v>-0.0005096136142455087</x:v>
      </x:c>
      <x:c r="G53" s="26" t="n">
        <x:v>-0.001713265121773499</x:v>
      </x:c>
      <x:c r="H53" s="26" t="n">
        <x:v>0.0006940378932824814</x:v>
      </x:c>
      <x:c r="I53" s="26" t="n">
        <x:v>0.7966864350515515</x:v>
      </x:c>
      <x:c r="J53" s="26" t="n">
        <x:v>-0.0019752951491228067</x:v>
      </x:c>
      <x:c r="K53" s="26" t="n">
        <x:v>-0.006139614501112391</x:v>
      </x:c>
      <x:c r="L53" s="26" t="n">
        <x:v>0.002189024202866778</x:v>
      </x:c>
      <x:c r="M53" s="26" t="n">
        <x:v>0.823737453763778</x:v>
      </x:c>
      <x:c r="N53" s="26" t="n">
        <x:v>0.017543859649122806</x:v>
      </x:c>
      <x:c r="O53" s="26" t="n">
        <x:v>0.017543859649122806</x:v>
      </x:c>
      <x:c r="P53" s="26" t="n">
        <x:v>38</x:v>
      </x:c>
      <x:c r="Q53" s="26" t="n">
        <x:v>322</x:v>
      </x:c>
      <x:c r="R53" s="26" t="n">
        <x:v>406</x:v>
      </x:c>
      <x:c r="S53" s="26" t="n">
        <x:v>0.0004699248120300737</x:v>
      </x:c>
      <x:c r="T53" s="26" t="n">
        <x:v>-0.0004511278195488706</x:v>
      </x:c>
      <x:c r="U53" s="26" t="n">
        <x:v>0.001390977443609018</x:v>
      </x:c>
      <x:c r="V53" s="26" t="n">
        <x:v>0.158655253931457</x:v>
      </x:c>
      <x:c r="W53" s="26" t="n">
        <x:v>0.008453947368421052</x:v>
      </x:c>
      <x:c r="X53" s="26" t="n">
        <x:v>-0.008115789473684213</x:v>
      </x:c>
      <x:c r="Y53" s="26" t="n">
        <x:v>0.025023684210526316</x:v>
      </x:c>
      <x:c r="Z53" s="26" t="n">
        <x:v>0.15865525393145713</x:v>
      </x:c>
      <x:c r="AA53" s="26" t="n">
        <x:v>0.02631578947368421</x:v>
      </x:c>
      <x:c r="AB53" s="26" t="n">
        <x:v>0.02631578947368421</x:v>
      </x:c>
      <x:c r="AC53" s="39" t="b">
        <x:v>1</x:v>
      </x:c>
      <x:c r="AD53" s="39" t="b">
        <x:v>0</x:v>
      </x:c>
      <x:c r="AE53" s="39" t="b">
        <x:v>0</x:v>
      </x:c>
      <x:c r="AF53" s="26" t="n">
        <x:v>-0.0005096136142455087</x:v>
      </x:c>
      <x:c r="AG53" s="26" t="n">
        <x:v>-0.0019752951491228067</x:v>
      </x:c>
      <x:c r="AH53" s="26" t="n">
        <x:v>406</x:v>
      </x:c>
      <x:c r="AI53" s="26"/>
      <x:c r="AJ53" s="26" t="str">
        <x:v>결합 근거 부족</x:v>
      </x:c>
      <x:c r="AK53" s="27" t="str">
        <x:v>판매발생률·매출이 두 단독 방식보다 모두 높다는 조건을 충족하지 못함</x:v>
      </x:c>
    </x:row>
    <x:row r="54">
      <x:c r="A54" s="25" t="str">
        <x:v>GROCERY</x:v>
      </x:c>
      <x:c r="B54" s="26" t="str">
        <x:v>FROZEN BREAD/DOUGH</x:v>
      </x:c>
      <x:c r="C54" s="26" t="n">
        <x:v>83</x:v>
      </x:c>
      <x:c r="D54" s="26" t="n">
        <x:v>1303</x:v>
      </x:c>
      <x:c r="E54" s="26" t="n">
        <x:v>2244</x:v>
      </x:c>
      <x:c r="F54" s="26" t="n">
        <x:v>0.002609700937818404</x:v>
      </x:c>
      <x:c r="G54" s="26" t="n">
        <x:v>-0.003767073576502549</x:v>
      </x:c>
      <x:c r="H54" s="26" t="n">
        <x:v>0.008986475452139358</x:v>
      </x:c>
      <x:c r="I54" s="26" t="n">
        <x:v>0.2112383509876805</x:v>
      </x:c>
      <x:c r="J54" s="26" t="n">
        <x:v>0.0044623856867469875</x:v>
      </x:c>
      <x:c r="K54" s="26" t="n">
        <x:v>-0.007544397551864997</x:v>
      </x:c>
      <x:c r="L54" s="26" t="n">
        <x:v>0.016469168925358973</x:v>
      </x:c>
      <x:c r="M54" s="26" t="n">
        <x:v>0.23317074687780795</x:v>
      </x:c>
      <x:c r="N54" s="26" t="n">
        <x:v>0.12048192771084337</x:v>
      </x:c>
      <x:c r="O54" s="26" t="n">
        <x:v>0.12048192771084337</x:v>
      </x:c>
      <x:c r="P54" s="26" t="n">
        <x:v>35</x:v>
      </x:c>
      <x:c r="Q54" s="26" t="n">
        <x:v>902</x:v>
      </x:c>
      <x:c r="R54" s="26" t="n">
        <x:v>1064</x:v>
      </x:c>
      <x:c r="S54" s="26" t="n">
        <x:v>0.004231574340702661</x:v>
      </x:c>
      <x:c r="T54" s="26" t="n">
        <x:v>-0.006872139091784175</x:v>
      </x:c>
      <x:c r="U54" s="26" t="n">
        <x:v>0.015335287773189496</x:v>
      </x:c>
      <x:c r="V54" s="26" t="n">
        <x:v>0.22754776954364103</x:v>
      </x:c>
      <x:c r="W54" s="26" t="n">
        <x:v>-0.0025118085714285715</x:v>
      </x:c>
      <x:c r="X54" s="26" t="n">
        <x:v>-0.022911570738349728</x:v>
      </x:c>
      <x:c r="Y54" s="26" t="n">
        <x:v>0.017887953595492584</x:v>
      </x:c>
      <x:c r="Z54" s="26" t="n">
        <x:v>0.5953516527483014</x:v>
      </x:c>
      <x:c r="AA54" s="26" t="n">
        <x:v>0.11428571428571428</x:v>
      </x:c>
      <x:c r="AB54" s="26" t="n">
        <x:v>0.14285714285714285</x:v>
      </x:c>
      <x:c r="AC54" s="39" t="b">
        <x:v>1</x:v>
      </x:c>
      <x:c r="AD54" s="39" t="b">
        <x:v>0</x:v>
      </x:c>
      <x:c r="AE54" s="39" t="b">
        <x:v>0</x:v>
      </x:c>
      <x:c r="AF54" s="26" t="n">
        <x:v>0.002609700937818404</x:v>
      </x:c>
      <x:c r="AG54" s="26" t="n">
        <x:v>-0.0025118085714285715</x:v>
      </x:c>
      <x:c r="AH54" s="26" t="n">
        <x:v>1064</x:v>
      </x:c>
      <x:c r="AI54" s="26"/>
      <x:c r="AJ54" s="26" t="str">
        <x:v>결합 근거 부족</x:v>
      </x:c>
      <x:c r="AK54" s="27" t="str">
        <x:v>판매발생률·매출이 두 단독 방식보다 모두 높다는 조건을 충족하지 못함</x:v>
      </x:c>
    </x:row>
    <x:row r="55">
      <x:c r="A55" s="25" t="str">
        <x:v>NUTRITION</x:v>
      </x:c>
      <x:c r="B55" s="26" t="str">
        <x:v>WATER</x:v>
      </x:c>
      <x:c r="C55" s="26" t="n">
        <x:v>43</x:v>
      </x:c>
      <x:c r="D55" s="26" t="n">
        <x:v>2828</x:v>
      </x:c>
      <x:c r="E55" s="26" t="n">
        <x:v>7549</x:v>
      </x:c>
      <x:c r="F55" s="26" t="n">
        <x:v>0.0018248347073076114</x:v>
      </x:c>
      <x:c r="G55" s="26" t="n">
        <x:v>-0.003982677449495748</x:v>
      </x:c>
      <x:c r="H55" s="26" t="n">
        <x:v>0.00763234686411097</x:v>
      </x:c>
      <x:c r="I55" s="26" t="n">
        <x:v>0.2689899617384296</x:v>
      </x:c>
      <x:c r="J55" s="26" t="n">
        <x:v>0.0004202814930232557</x:v>
      </x:c>
      <x:c r="K55" s="26" t="n">
        <x:v>-0.009377901074999705</x:v>
      </x:c>
      <x:c r="L55" s="26" t="n">
        <x:v>0.010218464061046217</x:v>
      </x:c>
      <x:c r="M55" s="26" t="n">
        <x:v>0.4664996370450603</x:v>
      </x:c>
      <x:c r="N55" s="26" t="n">
        <x:v>0.13953488372093023</x:v>
      </x:c>
      <x:c r="O55" s="26" t="n">
        <x:v>0.13953488372093023</x:v>
      </x:c>
      <x:c r="P55" s="26" t="n">
        <x:v>31</x:v>
      </x:c>
      <x:c r="Q55" s="26" t="n">
        <x:v>580</x:v>
      </x:c>
      <x:c r="R55" s="26" t="n">
        <x:v>580</x:v>
      </x:c>
      <x:c r="S55" s="26" t="n">
        <x:v>-0.0019290212578720071</x:v>
      </x:c>
      <x:c r="T55" s="26" t="n">
        <x:v>-0.014037296490885712</x:v>
      </x:c>
      <x:c r="U55" s="26" t="n">
        <x:v>0.010179253975141696</x:v>
      </x:c>
      <x:c r="V55" s="26" t="n">
        <x:v>0.6225770141993495</x:v>
      </x:c>
      <x:c r="W55" s="26" t="n">
        <x:v>-0.002547617741935484</x:v>
      </x:c>
      <x:c r="X55" s="26" t="n">
        <x:v>-0.03349815153886945</x:v>
      </x:c>
      <x:c r="Y55" s="26" t="n">
        <x:v>0.02840291605499849</x:v>
      </x:c>
      <x:c r="Z55" s="26" t="n">
        <x:v>0.5640842844831528</x:v>
      </x:c>
      <x:c r="AA55" s="26" t="n">
        <x:v>0.06451612903225806</x:v>
      </x:c>
      <x:c r="AB55" s="26" t="n">
        <x:v>0.0967741935483871</x:v>
      </x:c>
      <x:c r="AC55" s="39" t="b">
        <x:v>1</x:v>
      </x:c>
      <x:c r="AD55" s="39" t="b">
        <x:v>0</x:v>
      </x:c>
      <x:c r="AE55" s="39" t="b">
        <x:v>0</x:v>
      </x:c>
      <x:c r="AF55" s="26" t="n">
        <x:v>-0.0019290212578720071</x:v>
      </x:c>
      <x:c r="AG55" s="26" t="n">
        <x:v>-0.002547617741935484</x:v>
      </x:c>
      <x:c r="AH55" s="26" t="n">
        <x:v>580</x:v>
      </x:c>
      <x:c r="AI55" s="26"/>
      <x:c r="AJ55" s="26" t="str">
        <x:v>결합 근거 부족</x:v>
      </x:c>
      <x:c r="AK55" s="27" t="str">
        <x:v>판매발생률·매출이 두 단독 방식보다 모두 높다는 조건을 충족하지 못함</x:v>
      </x:c>
    </x:row>
    <x:row r="56">
      <x:c r="A56" s="25" t="str">
        <x:v>SEAFOOD-PCKGD</x:v>
      </x:c>
      <x:c r="B56" s="26" t="str">
        <x:v>FROZEN - BOXED(GROCERY)</x:v>
      </x:c>
      <x:c r="C56" s="26" t="n">
        <x:v>55</x:v>
      </x:c>
      <x:c r="D56" s="26" t="n">
        <x:v>1412</x:v>
      </x:c>
      <x:c r="E56" s="26" t="n">
        <x:v>2773</x:v>
      </x:c>
      <x:c r="F56" s="26" t="n">
        <x:v>0.0007001048976303942</x:v>
      </x:c>
      <x:c r="G56" s="26" t="n">
        <x:v>-0.0052050150146905555</x:v>
      </x:c>
      <x:c r="H56" s="26" t="n">
        <x:v>0.0066052248099513445</x:v>
      </x:c>
      <x:c r="I56" s="26" t="n">
        <x:v>0.4081231613839076</x:v>
      </x:c>
      <x:c r="J56" s="26" t="n">
        <x:v>-0.002810856475363635</x:v>
      </x:c>
      <x:c r="K56" s="26" t="n">
        <x:v>-0.03504572731823567</x:v>
      </x:c>
      <x:c r="L56" s="26" t="n">
        <x:v>0.0294240143675084</x:v>
      </x:c>
      <x:c r="M56" s="26" t="n">
        <x:v>0.567852939570614</x:v>
      </x:c>
      <x:c r="N56" s="26" t="n">
        <x:v>0.16363636363636364</x:v>
      </x:c>
      <x:c r="O56" s="26" t="n">
        <x:v>0.14545454545454545</x:v>
      </x:c>
      <x:c r="P56" s="26" t="n">
        <x:v>31</x:v>
      </x:c>
      <x:c r="Q56" s="26" t="n">
        <x:v>857</x:v>
      </x:c>
      <x:c r="R56" s="26" t="n">
        <x:v>1631</x:v>
      </x:c>
      <x:c r="S56" s="26" t="n">
        <x:v>0.003093023324336745</x:v>
      </x:c>
      <x:c r="T56" s="26" t="n">
        <x:v>-0.001774776911991707</x:v>
      </x:c>
      <x:c r="U56" s="26" t="n">
        <x:v>0.007960823560665197</x:v>
      </x:c>
      <x:c r="V56" s="26" t="n">
        <x:v>0.10649361063585551</x:v>
      </x:c>
      <x:c r="W56" s="26" t="n">
        <x:v>0.015962786774193546</x:v>
      </x:c>
      <x:c r="X56" s="26" t="n">
        <x:v>-0.015636014786609014</x:v>
      </x:c>
      <x:c r="Y56" s="26" t="n">
        <x:v>0.0475615883349961</x:v>
      </x:c>
      <x:c r="Z56" s="26" t="n">
        <x:v>0.16105420284769864</x:v>
      </x:c>
      <x:c r="AA56" s="26" t="n">
        <x:v>0.12903225806451613</x:v>
      </x:c>
      <x:c r="AB56" s="26" t="n">
        <x:v>0.16129032258064516</x:v>
      </x:c>
      <x:c r="AC56" s="39" t="b">
        <x:v>1</x:v>
      </x:c>
      <x:c r="AD56" s="39" t="b">
        <x:v>0</x:v>
      </x:c>
      <x:c r="AE56" s="39" t="b">
        <x:v>0</x:v>
      </x:c>
      <x:c r="AF56" s="26" t="n">
        <x:v>0.0007001048976303942</x:v>
      </x:c>
      <x:c r="AG56" s="26" t="n">
        <x:v>-0.002810856475363635</x:v>
      </x:c>
      <x:c r="AH56" s="26" t="n">
        <x:v>1631</x:v>
      </x:c>
      <x:c r="AI56" s="26"/>
      <x:c r="AJ56" s="26" t="str">
        <x:v>결합 근거 부족</x:v>
      </x:c>
      <x:c r="AK56" s="27" t="str">
        <x:v>판매발생률·매출이 두 단독 방식보다 모두 높다는 조건을 충족하지 못함</x:v>
      </x:c>
    </x:row>
    <x:row r="57">
      <x:c r="A57" s="25" t="str">
        <x:v>NUTRITION</x:v>
      </x:c>
      <x:c r="B57" s="26" t="str">
        <x:v>CEREAL/BREAKFAST</x:v>
      </x:c>
      <x:c r="C57" s="26" t="n">
        <x:v>111</x:v>
      </x:c>
      <x:c r="D57" s="26" t="n">
        <x:v>2542</x:v>
      </x:c>
      <x:c r="E57" s="26" t="n">
        <x:v>4717</x:v>
      </x:c>
      <x:c r="F57" s="26" t="n">
        <x:v>-0.0013849257443690928</x:v>
      </x:c>
      <x:c r="G57" s="26" t="n">
        <x:v>-0.004733207788538698</x:v>
      </x:c>
      <x:c r="H57" s="26" t="n">
        <x:v>0.001963356299800512</x:v>
      </x:c>
      <x:c r="I57" s="26" t="n">
        <x:v>0.7912312025255269</x:v>
      </x:c>
      <x:c r="J57" s="26" t="n">
        <x:v>-0.004703270630630632</x:v>
      </x:c>
      <x:c r="K57" s="26" t="n">
        <x:v>-0.01606333992392926</x:v>
      </x:c>
      <x:c r="L57" s="26" t="n">
        <x:v>0.006656798662667995</x:v>
      </x:c>
      <x:c r="M57" s="26" t="n">
        <x:v>0.7914534826688661</x:v>
      </x:c>
      <x:c r="N57" s="26" t="n">
        <x:v>0.13513513513513514</x:v>
      </x:c>
      <x:c r="O57" s="26" t="n">
        <x:v>0.12612612612612611</x:v>
      </x:c>
      <x:c r="P57" s="26" t="n">
        <x:v>33</x:v>
      </x:c>
      <x:c r="Q57" s="26" t="n">
        <x:v>155</x:v>
      </x:c>
      <x:c r="R57" s="26" t="n">
        <x:v>155</x:v>
      </x:c>
      <x:c r="S57" s="26" t="n">
        <x:v>0.00029904306220095763</x:v>
      </x:c>
      <x:c r="T57" s="26" t="n">
        <x:v>-0.004628121933277558</x:v>
      </x:c>
      <x:c r="U57" s="26" t="n">
        <x:v>0.005226208057679474</x:v>
      </x:c>
      <x:c r="V57" s="26" t="n">
        <x:v>0.4526544191317644</x:v>
      </x:c>
      <x:c r="W57" s="26" t="n">
        <x:v>0.0068819778787878785</x:v>
      </x:c>
      <x:c r="X57" s="26" t="n">
        <x:v>-0.018102694464114978</x:v>
      </x:c>
      <x:c r="Y57" s="26" t="n">
        <x:v>0.03186665022169073</x:v>
      </x:c>
      <x:c r="Z57" s="26" t="n">
        <x:v>0.2946405618334448</x:v>
      </x:c>
      <x:c r="AA57" s="26" t="n">
        <x:v>0.030303030303030304</x:v>
      </x:c>
      <x:c r="AB57" s="26" t="n">
        <x:v>0.030303030303030304</x:v>
      </x:c>
      <x:c r="AC57" s="39" t="b">
        <x:v>1</x:v>
      </x:c>
      <x:c r="AD57" s="39" t="b">
        <x:v>0</x:v>
      </x:c>
      <x:c r="AE57" s="39" t="b">
        <x:v>0</x:v>
      </x:c>
      <x:c r="AF57" s="26" t="n">
        <x:v>-0.0013849257443690928</x:v>
      </x:c>
      <x:c r="AG57" s="26" t="n">
        <x:v>-0.004703270630630632</x:v>
      </x:c>
      <x:c r="AH57" s="26" t="n">
        <x:v>155</x:v>
      </x:c>
      <x:c r="AI57" s="26"/>
      <x:c r="AJ57" s="26" t="str">
        <x:v>결합 근거 부족</x:v>
      </x:c>
      <x:c r="AK57" s="27" t="str">
        <x:v>판매발생률·매출이 두 단독 방식보다 모두 높다는 조건을 충족하지 못함</x:v>
      </x:c>
    </x:row>
    <x:row r="58">
      <x:c r="A58" s="25" t="str">
        <x:v>DRUG GM</x:v>
      </x:c>
      <x:c r="B58" s="26" t="str">
        <x:v>FILM AND CAMERA PRODUCTS</x:v>
      </x:c>
      <x:c r="C58" s="26" t="n">
        <x:v>46</x:v>
      </x:c>
      <x:c r="D58" s="26" t="n">
        <x:v>1610</x:v>
      </x:c>
      <x:c r="E58" s="26" t="n">
        <x:v>3550</x:v>
      </x:c>
      <x:c r="F58" s="26" t="n">
        <x:v>0.00005131982539368697</x:v>
      </x:c>
      <x:c r="G58" s="26" t="n">
        <x:v>-0.0022034447171549853</x:v>
      </x:c>
      <x:c r="H58" s="26" t="n">
        <x:v>0.0023060843679423597</x:v>
      </x:c>
      <x:c r="I58" s="26" t="n">
        <x:v>0.4822087656741488</x:v>
      </x:c>
      <x:c r="J58" s="26" t="n">
        <x:v>-0.005315993891304349</x:v>
      </x:c>
      <x:c r="K58" s="26" t="n">
        <x:v>-0.02434699091220692</x:v>
      </x:c>
      <x:c r="L58" s="26" t="n">
        <x:v>0.013715003129598224</x:v>
      </x:c>
      <x:c r="M58" s="26" t="n">
        <x:v>0.707980148073505</x:v>
      </x:c>
      <x:c r="N58" s="26" t="n">
        <x:v>0.10869565217391304</x:v>
      </x:c>
      <x:c r="O58" s="26" t="n">
        <x:v>0.13043478260869565</x:v>
      </x:c>
      <x:c r="P58" s="26" t="n">
        <x:v>34</x:v>
      </x:c>
      <x:c r="Q58" s="26" t="n">
        <x:v>1011</x:v>
      </x:c>
      <x:c r="R58" s="26" t="n">
        <x:v>1444</x:v>
      </x:c>
      <x:c r="S58" s="26" t="n">
        <x:v>-0.0006730685622364268</x:v>
      </x:c>
      <x:c r="T58" s="26" t="n">
        <x:v>-0.005845610640555087</x:v>
      </x:c>
      <x:c r="U58" s="26" t="n">
        <x:v>0.004499473516082234</x:v>
      </x:c>
      <x:c r="V58" s="26" t="n">
        <x:v>0.6006545881351091</x:v>
      </x:c>
      <x:c r="W58" s="26" t="n">
        <x:v>-0.004084705294117647</x:v>
      </x:c>
      <x:c r="X58" s="26" t="n">
        <x:v>-0.03327612383099256</x:v>
      </x:c>
      <x:c r="Y58" s="26" t="n">
        <x:v>0.02510671324275726</x:v>
      </x:c>
      <x:c r="Z58" s="26" t="n">
        <x:v>0.6080573776170912</x:v>
      </x:c>
      <x:c r="AA58" s="26" t="n">
        <x:v>0.08823529411764706</x:v>
      </x:c>
      <x:c r="AB58" s="26" t="n">
        <x:v>0.11764705882352941</x:v>
      </x:c>
      <x:c r="AC58" s="39" t="b">
        <x:v>1</x:v>
      </x:c>
      <x:c r="AD58" s="39" t="b">
        <x:v>0</x:v>
      </x:c>
      <x:c r="AE58" s="39" t="b">
        <x:v>0</x:v>
      </x:c>
      <x:c r="AF58" s="26" t="n">
        <x:v>-0.0006730685622364268</x:v>
      </x:c>
      <x:c r="AG58" s="26" t="n">
        <x:v>-0.005315993891304349</x:v>
      </x:c>
      <x:c r="AH58" s="26" t="n">
        <x:v>1444</x:v>
      </x:c>
      <x:c r="AI58" s="26"/>
      <x:c r="AJ58" s="26" t="str">
        <x:v>결합 근거 부족</x:v>
      </x:c>
      <x:c r="AK58" s="27" t="str">
        <x:v>판매발생률·매출이 두 단독 방식보다 모두 높다는 조건을 충족하지 못함</x:v>
      </x:c>
    </x:row>
    <x:row r="59">
      <x:c r="A59" s="25" t="str">
        <x:v>DRUG GM</x:v>
      </x:c>
      <x:c r="B59" s="26" t="str">
        <x:v>ADULT INCONTINENCE</x:v>
      </x:c>
      <x:c r="C59" s="26" t="n">
        <x:v>16</x:v>
      </x:c>
      <x:c r="D59" s="26" t="n">
        <x:v>203</x:v>
      </x:c>
      <x:c r="E59" s="26" t="n">
        <x:v>264</x:v>
      </x:c>
      <x:c r="F59" s="26" t="n">
        <x:v>0</x:v>
      </x:c>
      <x:c r="G59" s="26" t="n">
        <x:v>0</x:v>
      </x:c>
      <x:c r="H59" s="26" t="n">
        <x:v>0</x:v>
      </x:c>
      <x:c r="I59" s="26" t="n">
        <x:v>0.5</x:v>
      </x:c>
      <x:c r="J59" s="26" t="n">
        <x:v>-0.00555092625</x:v>
      </x:c>
      <x:c r="K59" s="26" t="n">
        <x:v>-0.016430741699999998</x:v>
      </x:c>
      <x:c r="L59" s="26" t="n">
        <x:v>0.005328889199999998</x:v>
      </x:c>
      <x:c r="M59" s="26" t="n">
        <x:v>0.841344746068543</x:v>
      </x:c>
      <x:c r="N59" s="26" t="n">
        <x:v>0</x:v>
      </x:c>
      <x:c r="O59" s="26" t="n">
        <x:v>0</x:v>
      </x:c>
      <x:c r="P59" s="26" t="n">
        <x:v>16</x:v>
      </x:c>
      <x:c r="Q59" s="26" t="n">
        <x:v>161</x:v>
      </x:c>
      <x:c r="R59" s="26" t="n">
        <x:v>167</x:v>
      </x:c>
      <x:c r="S59" s="26" t="n">
        <x:v>0</x:v>
      </x:c>
      <x:c r="T59" s="26" t="n">
        <x:v>0</x:v>
      </x:c>
      <x:c r="U59" s="26" t="n">
        <x:v>0</x:v>
      </x:c>
      <x:c r="V59" s="26" t="n">
        <x:v>0.5</x:v>
      </x:c>
      <x:c r="W59" s="26" t="n">
        <x:v>0</x:v>
      </x:c>
      <x:c r="X59" s="26" t="n">
        <x:v>0</x:v>
      </x:c>
      <x:c r="Y59" s="26" t="n">
        <x:v>0</x:v>
      </x:c>
      <x:c r="Z59" s="26" t="n">
        <x:v>0.5</x:v>
      </x:c>
      <x:c r="AA59" s="26" t="n">
        <x:v>0</x:v>
      </x:c>
      <x:c r="AB59" s="26" t="n">
        <x:v>0</x:v>
      </x:c>
      <x:c r="AC59" s="39" t="b">
        <x:v>1</x:v>
      </x:c>
      <x:c r="AD59" s="39" t="b">
        <x:v>0</x:v>
      </x:c>
      <x:c r="AE59" s="39" t="b">
        <x:v>0</x:v>
      </x:c>
      <x:c r="AF59" s="26" t="n">
        <x:v>0</x:v>
      </x:c>
      <x:c r="AG59" s="26" t="n">
        <x:v>-0.00555092625</x:v>
      </x:c>
      <x:c r="AH59" s="26" t="n">
        <x:v>167</x:v>
      </x:c>
      <x:c r="AI59" s="26"/>
      <x:c r="AJ59" s="26" t="str">
        <x:v>결합 근거 부족</x:v>
      </x:c>
      <x:c r="AK59" s="27" t="str">
        <x:v>판매발생률·매출이 두 단독 방식보다 모두 높다는 조건을 충족하지 못함</x:v>
      </x:c>
    </x:row>
    <x:row r="60">
      <x:c r="A60" s="25" t="str">
        <x:v>DRUG GM</x:v>
      </x:c>
      <x:c r="B60" s="26" t="str">
        <x:v>DOMESTIC GOODS</x:v>
      </x:c>
      <x:c r="C60" s="26" t="n">
        <x:v>41</x:v>
      </x:c>
      <x:c r="D60" s="26" t="n">
        <x:v>458</x:v>
      </x:c>
      <x:c r="E60" s="26" t="n">
        <x:v>547</x:v>
      </x:c>
      <x:c r="F60" s="26" t="n">
        <x:v>0.022269804694481875</x:v>
      </x:c>
      <x:c r="G60" s="26" t="n">
        <x:v>-0.0017910030731108847</x:v>
      </x:c>
      <x:c r="H60" s="26" t="n">
        <x:v>0.046330612462074636</x:v>
      </x:c>
      <x:c r="I60" s="26" t="n">
        <x:v>0.03483082726796807</x:v>
      </x:c>
      <x:c r="J60" s="26" t="n">
        <x:v>0.22113046787804877</x:v>
      </x:c>
      <x:c r="K60" s="26" t="n">
        <x:v>-0.1769644337691789</x:v>
      </x:c>
      <x:c r="L60" s="26" t="n">
        <x:v>0.6192253695252764</x:v>
      </x:c>
      <x:c r="M60" s="26" t="n">
        <x:v>0.13813767264745072</x:v>
      </x:c>
      <x:c r="N60" s="26" t="n">
        <x:v>0.14634146341463414</x:v>
      </x:c>
      <x:c r="O60" s="26" t="n">
        <x:v>0.14634146341463414</x:v>
      </x:c>
      <x:c r="P60" s="26" t="n">
        <x:v>22</x:v>
      </x:c>
      <x:c r="Q60" s="26" t="n">
        <x:v>99</x:v>
      </x:c>
      <x:c r="R60" s="26" t="n">
        <x:v>100</x:v>
      </x:c>
      <x:c r="S60" s="26" t="n">
        <x:v>0.012170087976539594</x:v>
      </x:c>
      <x:c r="T60" s="26" t="n">
        <x:v>-0.018073968260668115</x:v>
      </x:c>
      <x:c r="U60" s="26" t="n">
        <x:v>0.042414144213747305</x:v>
      </x:c>
      <x:c r="V60" s="26" t="n">
        <x:v>0.21514479271710601</x:v>
      </x:c>
      <x:c r="W60" s="26" t="n">
        <x:v>-0.005871943636363636</x:v>
      </x:c>
      <x:c r="X60" s="26" t="n">
        <x:v>-0.05350976207491012</x:v>
      </x:c>
      <x:c r="Y60" s="26" t="n">
        <x:v>0.04176587480218284</x:v>
      </x:c>
      <x:c r="Z60" s="26" t="n">
        <x:v>0.5954526012956226</x:v>
      </x:c>
      <x:c r="AA60" s="26" t="n">
        <x:v>0.045454545454545456</x:v>
      </x:c>
      <x:c r="AB60" s="26" t="n">
        <x:v>0.045454545454545456</x:v>
      </x:c>
      <x:c r="AC60" s="39" t="b">
        <x:v>1</x:v>
      </x:c>
      <x:c r="AD60" s="39" t="b">
        <x:v>0</x:v>
      </x:c>
      <x:c r="AE60" s="39" t="b">
        <x:v>0</x:v>
      </x:c>
      <x:c r="AF60" s="26" t="n">
        <x:v>0.012170087976539594</x:v>
      </x:c>
      <x:c r="AG60" s="26" t="n">
        <x:v>-0.005871943636363636</x:v>
      </x:c>
      <x:c r="AH60" s="26" t="n">
        <x:v>100</x:v>
      </x:c>
      <x:c r="AI60" s="26"/>
      <x:c r="AJ60" s="26" t="str">
        <x:v>결합 근거 부족</x:v>
      </x:c>
      <x:c r="AK60" s="27" t="str">
        <x:v>판매발생률·매출이 두 단독 방식보다 모두 높다는 조건을 충족하지 못함</x:v>
      </x:c>
    </x:row>
    <x:row r="61">
      <x:c r="A61" s="25" t="str">
        <x:v>DRUG GM</x:v>
      </x:c>
      <x:c r="B61" s="26" t="str">
        <x:v>HAIR CARE PRODUCTS</x:v>
      </x:c>
      <x:c r="C61" s="26" t="n">
        <x:v>828</x:v>
      </x:c>
      <x:c r="D61" s="26" t="n">
        <x:v>20099</x:v>
      </x:c>
      <x:c r="E61" s="26" t="n">
        <x:v>32931</x:v>
      </x:c>
      <x:c r="F61" s="26" t="n">
        <x:v>0.0008040207496170588</x:v>
      </x:c>
      <x:c r="G61" s="26" t="n">
        <x:v>-0.000564409916465963</x:v>
      </x:c>
      <x:c r="H61" s="26" t="n">
        <x:v>0.0021724514157000804</x:v>
      </x:c>
      <x:c r="I61" s="26" t="n">
        <x:v>0.12474335444708505</x:v>
      </x:c>
      <x:c r="J61" s="26" t="n">
        <x:v>0.0011466811632850243</x:v>
      </x:c>
      <x:c r="K61" s="26" t="n">
        <x:v>-0.005098477184855915</x:v>
      </x:c>
      <x:c r="L61" s="26" t="n">
        <x:v>0.007391839511425964</x:v>
      </x:c>
      <x:c r="M61" s="26" t="n">
        <x:v>0.35946918583393284</x:v>
      </x:c>
      <x:c r="N61" s="26" t="n">
        <x:v>0.09057971014492754</x:v>
      </x:c>
      <x:c r="O61" s="26" t="n">
        <x:v>0.09057971014492754</x:v>
      </x:c>
      <x:c r="P61" s="26" t="n">
        <x:v>393</x:v>
      </x:c>
      <x:c r="Q61" s="26" t="n">
        <x:v>6594</x:v>
      </x:c>
      <x:c r="R61" s="26" t="n">
        <x:v>8122</x:v>
      </x:c>
      <x:c r="S61" s="26" t="n">
        <x:v>-0.00394979908871932</x:v>
      </x:c>
      <x:c r="T61" s="26" t="n">
        <x:v>-0.008321835990219595</x:v>
      </x:c>
      <x:c r="U61" s="26" t="n">
        <x:v>0.00042223781278095604</x:v>
      </x:c>
      <x:c r="V61" s="26" t="n">
        <x:v>0.9616954688499331</x:v>
      </x:c>
      <x:c r="W61" s="26" t="n">
        <x:v>-0.006076649251450382</x:v>
      </x:c>
      <x:c r="X61" s="26" t="n">
        <x:v>-0.0142865735748153</x:v>
      </x:c>
      <x:c r="Y61" s="26" t="n">
        <x:v>0.0021332750719145347</x:v>
      </x:c>
      <x:c r="Z61" s="26" t="n">
        <x:v>0.9265699093907485</x:v>
      </x:c>
      <x:c r="AA61" s="26" t="n">
        <x:v>0.06870229007633588</x:v>
      </x:c>
      <x:c r="AB61" s="26" t="n">
        <x:v>0.0737913486005089</x:v>
      </x:c>
      <x:c r="AC61" s="39" t="b">
        <x:v>1</x:v>
      </x:c>
      <x:c r="AD61" s="39" t="b">
        <x:v>0</x:v>
      </x:c>
      <x:c r="AE61" s="39" t="b">
        <x:v>0</x:v>
      </x:c>
      <x:c r="AF61" s="26" t="n">
        <x:v>-0.00394979908871932</x:v>
      </x:c>
      <x:c r="AG61" s="26" t="n">
        <x:v>-0.006076649251450382</x:v>
      </x:c>
      <x:c r="AH61" s="26" t="n">
        <x:v>8122</x:v>
      </x:c>
      <x:c r="AI61" s="26"/>
      <x:c r="AJ61" s="26" t="str">
        <x:v>결합 근거 부족</x:v>
      </x:c>
      <x:c r="AK61" s="27" t="str">
        <x:v>판매발생률·매출이 두 단독 방식보다 모두 높다는 조건을 충족하지 못함</x:v>
      </x:c>
    </x:row>
    <x:row r="62">
      <x:c r="A62" s="25" t="str">
        <x:v>NUTRITION</x:v>
      </x:c>
      <x:c r="B62" s="26" t="str">
        <x:v>DRIED FRUIT</x:v>
      </x:c>
      <x:c r="C62" s="26" t="n">
        <x:v>36</x:v>
      </x:c>
      <x:c r="D62" s="26" t="n">
        <x:v>859</x:v>
      </x:c>
      <x:c r="E62" s="26" t="n">
        <x:v>1339</x:v>
      </x:c>
      <x:c r="F62" s="26" t="n">
        <x:v>0.00035422362724994174</x:v>
      </x:c>
      <x:c r="G62" s="26" t="n">
        <x:v>-0.005855932433077921</x:v>
      </x:c>
      <x:c r="H62" s="26" t="n">
        <x:v>0.006564379687577805</x:v>
      </x:c>
      <x:c r="I62" s="26" t="n">
        <x:v>0.455492087862169</x:v>
      </x:c>
      <x:c r="J62" s="26" t="n">
        <x:v>0.007333063666666667</x:v>
      </x:c>
      <x:c r="K62" s="26" t="n">
        <x:v>-0.00917742958464264</x:v>
      </x:c>
      <x:c r="L62" s="26" t="n">
        <x:v>0.023843556917975975</x:v>
      </x:c>
      <x:c r="M62" s="26" t="n">
        <x:v>0.1920066550079336</x:v>
      </x:c>
      <x:c r="N62" s="26" t="n">
        <x:v>0.08333333333333333</x:v>
      </x:c>
      <x:c r="O62" s="26" t="n">
        <x:v>0.08333333333333333</x:v>
      </x:c>
      <x:c r="P62" s="26" t="n">
        <x:v>18</x:v>
      </x:c>
      <x:c r="Q62" s="26" t="n">
        <x:v>270</x:v>
      </x:c>
      <x:c r="R62" s="26" t="n">
        <x:v>270</x:v>
      </x:c>
      <x:c r="S62" s="26" t="n">
        <x:v>-0.00174825174825175</x:v>
      </x:c>
      <x:c r="T62" s="26" t="n">
        <x:v>-0.011724892067676677</x:v>
      </x:c>
      <x:c r="U62" s="26" t="n">
        <x:v>0.008228388571173178</x:v>
      </x:c>
      <x:c r="V62" s="26" t="n">
        <x:v>0.6343736556615961</x:v>
      </x:c>
      <x:c r="W62" s="26" t="n">
        <x:v>-0.006330613888888889</x:v>
      </x:c>
      <x:c r="X62" s="26" t="n">
        <x:v>-0.032893235956754106</x:v>
      </x:c>
      <x:c r="Y62" s="26" t="n">
        <x:v>0.020232008178976326</x:v>
      </x:c>
      <x:c r="Z62" s="26" t="n">
        <x:v>0.6797939459376164</x:v>
      </x:c>
      <x:c r="AA62" s="26" t="n">
        <x:v>0.05555555555555555</x:v>
      </x:c>
      <x:c r="AB62" s="26" t="n">
        <x:v>0.05555555555555555</x:v>
      </x:c>
      <x:c r="AC62" s="39" t="b">
        <x:v>1</x:v>
      </x:c>
      <x:c r="AD62" s="39" t="b">
        <x:v>0</x:v>
      </x:c>
      <x:c r="AE62" s="39" t="b">
        <x:v>0</x:v>
      </x:c>
      <x:c r="AF62" s="26" t="n">
        <x:v>-0.00174825174825175</x:v>
      </x:c>
      <x:c r="AG62" s="26" t="n">
        <x:v>-0.006330613888888889</x:v>
      </x:c>
      <x:c r="AH62" s="26" t="n">
        <x:v>270</x:v>
      </x:c>
      <x:c r="AI62" s="26"/>
      <x:c r="AJ62" s="26" t="str">
        <x:v>결합 근거 부족</x:v>
      </x:c>
      <x:c r="AK62" s="27" t="str">
        <x:v>판매발생률·매출이 두 단독 방식보다 모두 높다는 조건을 충족하지 못함</x:v>
      </x:c>
    </x:row>
    <x:row r="63">
      <x:c r="A63" s="25" t="str">
        <x:v>PRODUCE</x:v>
      </x:c>
      <x:c r="B63" s="26" t="str">
        <x:v>PROCESSED</x:v>
      </x:c>
      <x:c r="C63" s="26" t="n">
        <x:v>45</x:v>
      </x:c>
      <x:c r="D63" s="26" t="n">
        <x:v>411</x:v>
      </x:c>
      <x:c r="E63" s="26" t="n">
        <x:v>624</x:v>
      </x:c>
      <x:c r="F63" s="26" t="n">
        <x:v>0.022937853107344634</x:v>
      </x:c>
      <x:c r="G63" s="26" t="n">
        <x:v>-0.020909435246972398</x:v>
      </x:c>
      <x:c r="H63" s="26" t="n">
        <x:v>0.06678514146166167</x:v>
      </x:c>
      <x:c r="I63" s="26" t="n">
        <x:v>0.15260239748849405</x:v>
      </x:c>
      <x:c r="J63" s="26" t="n">
        <x:v>0.05420527333333333</x:v>
      </x:c>
      <x:c r="K63" s="26" t="n">
        <x:v>-0.05615035487706051</x:v>
      </x:c>
      <x:c r="L63" s="26" t="n">
        <x:v>0.16456090154372716</x:v>
      </x:c>
      <x:c r="M63" s="26" t="n">
        <x:v>0.16784228792134806</x:v>
      </x:c>
      <x:c r="N63" s="26" t="n">
        <x:v>0.044444444444444446</x:v>
      </x:c>
      <x:c r="O63" s="26" t="n">
        <x:v>0.044444444444444446</x:v>
      </x:c>
      <x:c r="P63" s="26" t="n">
        <x:v>30</x:v>
      </x:c>
      <x:c r="Q63" s="26" t="n">
        <x:v>144</x:v>
      </x:c>
      <x:c r="R63" s="26" t="n">
        <x:v>144</x:v>
      </x:c>
      <x:c r="S63" s="26" t="n">
        <x:v>-0.002469135802469133</x:v>
      </x:c>
      <x:c r="T63" s="26" t="n">
        <x:v>-0.007308641975308635</x:v>
      </x:c>
      <x:c r="U63" s="26" t="n">
        <x:v>0.0023703703703703686</x:v>
      </x:c>
      <x:c r="V63" s="26" t="n">
        <x:v>0.8413447460685428</x:v>
      </x:c>
      <x:c r="W63" s="26" t="n">
        <x:v>-0.006469135333333333</x:v>
      </x:c>
      <x:c r="X63" s="26" t="n">
        <x:v>-0.019148640586666665</x:v>
      </x:c>
      <x:c r="Y63" s="26" t="n">
        <x:v>0.0062103699199999975</x:v>
      </x:c>
      <x:c r="Z63" s="26" t="n">
        <x:v>0.841344746068543</x:v>
      </x:c>
      <x:c r="AA63" s="26" t="n">
        <x:v>0</x:v>
      </x:c>
      <x:c r="AB63" s="26" t="n">
        <x:v>0</x:v>
      </x:c>
      <x:c r="AC63" s="39" t="b">
        <x:v>1</x:v>
      </x:c>
      <x:c r="AD63" s="39" t="b">
        <x:v>0</x:v>
      </x:c>
      <x:c r="AE63" s="39" t="b">
        <x:v>0</x:v>
      </x:c>
      <x:c r="AF63" s="26" t="n">
        <x:v>-0.002469135802469133</x:v>
      </x:c>
      <x:c r="AG63" s="26" t="n">
        <x:v>-0.006469135333333333</x:v>
      </x:c>
      <x:c r="AH63" s="26" t="n">
        <x:v>144</x:v>
      </x:c>
      <x:c r="AI63" s="26"/>
      <x:c r="AJ63" s="26" t="str">
        <x:v>결합 근거 부족</x:v>
      </x:c>
      <x:c r="AK63" s="27" t="str">
        <x:v>판매발생률·매출이 두 단독 방식보다 모두 높다는 조건을 충족하지 못함</x:v>
      </x:c>
    </x:row>
    <x:row r="64">
      <x:c r="A64" s="25" t="str">
        <x:v>NUTRITION</x:v>
      </x:c>
      <x:c r="B64" s="26" t="str">
        <x:v>CHIPS&amp;SNACKS</x:v>
      </x:c>
      <x:c r="C64" s="26" t="n">
        <x:v>74</x:v>
      </x:c>
      <x:c r="D64" s="26" t="n">
        <x:v>2669</x:v>
      </x:c>
      <x:c r="E64" s="26" t="n">
        <x:v>5739</x:v>
      </x:c>
      <x:c r="F64" s="26" t="n">
        <x:v>0.004556432664337825</x:v>
      </x:c>
      <x:c r="G64" s="26" t="n">
        <x:v>-0.000745601524105929</x:v>
      </x:c>
      <x:c r="H64" s="26" t="n">
        <x:v>0.00985846685278158</x:v>
      </x:c>
      <x:c r="I64" s="26" t="n">
        <x:v>0.04605471547191558</x:v>
      </x:c>
      <x:c r="J64" s="26" t="n">
        <x:v>0.01113501552027027</x:v>
      </x:c>
      <x:c r="K64" s="26" t="n">
        <x:v>-0.0028447341015706805</x:v>
      </x:c>
      <x:c r="L64" s="26" t="n">
        <x:v>0.02511476514211122</x:v>
      </x:c>
      <x:c r="M64" s="26" t="n">
        <x:v>0.05924296413640508</x:v>
      </x:c>
      <x:c r="N64" s="26" t="n">
        <x:v>0.24324324324324326</x:v>
      </x:c>
      <x:c r="O64" s="26" t="n">
        <x:v>0.24324324324324326</x:v>
      </x:c>
      <x:c r="P64" s="26" t="n">
        <x:v>40</x:v>
      </x:c>
      <x:c r="Q64" s="26" t="n">
        <x:v>607</x:v>
      </x:c>
      <x:c r="R64" s="26" t="n">
        <x:v>691</x:v>
      </x:c>
      <x:c r="S64" s="26" t="n">
        <x:v>-0.0002929588527414602</x:v>
      </x:c>
      <x:c r="T64" s="26" t="n">
        <x:v>-0.00788652024936301</x:v>
      </x:c>
      <x:c r="U64" s="26" t="n">
        <x:v>0.007300602543880089</x:v>
      </x:c>
      <x:c r="V64" s="26" t="n">
        <x:v>0.5301379382756704</x:v>
      </x:c>
      <x:c r="W64" s="26" t="n">
        <x:v>-0.007377429150000001</x:v>
      </x:c>
      <x:c r="X64" s="26" t="n">
        <x:v>-0.03034635773989522</x:v>
      </x:c>
      <x:c r="Y64" s="26" t="n">
        <x:v>0.01559149943989522</x:v>
      </x:c>
      <x:c r="Z64" s="26" t="n">
        <x:v>0.7355008063217885</x:v>
      </x:c>
      <x:c r="AA64" s="26" t="n">
        <x:v>0.05</x:v>
      </x:c>
      <x:c r="AB64" s="26" t="n">
        <x:v>0.05</x:v>
      </x:c>
      <x:c r="AC64" s="39" t="b">
        <x:v>1</x:v>
      </x:c>
      <x:c r="AD64" s="39" t="b">
        <x:v>0</x:v>
      </x:c>
      <x:c r="AE64" s="39" t="b">
        <x:v>0</x:v>
      </x:c>
      <x:c r="AF64" s="26" t="n">
        <x:v>-0.0002929588527414602</x:v>
      </x:c>
      <x:c r="AG64" s="26" t="n">
        <x:v>-0.007377429150000001</x:v>
      </x:c>
      <x:c r="AH64" s="26" t="n">
        <x:v>691</x:v>
      </x:c>
      <x:c r="AI64" s="26"/>
      <x:c r="AJ64" s="26" t="str">
        <x:v>결합 근거 부족</x:v>
      </x:c>
      <x:c r="AK64" s="27" t="str">
        <x:v>판매발생률·매출이 두 단독 방식보다 모두 높다는 조건을 충족하지 못함</x:v>
      </x:c>
    </x:row>
    <x:row r="65">
      <x:c r="A65" s="25" t="str">
        <x:v>NUTRITION</x:v>
      </x:c>
      <x:c r="B65" s="26" t="str">
        <x:v>SNKS/CKYS/CRKR/CNDY</x:v>
      </x:c>
      <x:c r="C65" s="26" t="n">
        <x:v>69</x:v>
      </x:c>
      <x:c r="D65" s="26" t="n">
        <x:v>1312</x:v>
      </x:c>
      <x:c r="E65" s="26" t="n">
        <x:v>1785</x:v>
      </x:c>
      <x:c r="F65" s="26" t="n">
        <x:v>-0.0022977555072665723</x:v>
      </x:c>
      <x:c r="G65" s="26" t="n">
        <x:v>-0.004773371029093263</x:v>
      </x:c>
      <x:c r="H65" s="26" t="n">
        <x:v>0.00017786001456011847</x:v>
      </x:c>
      <x:c r="I65" s="26" t="n">
        <x:v>0.9655583384122955</x:v>
      </x:c>
      <x:c r="J65" s="26" t="n">
        <x:v>-0.00782270875942029</x:v>
      </x:c>
      <x:c r="K65" s="26" t="n">
        <x:v>-0.015966073812911</x:v>
      </x:c>
      <x:c r="L65" s="26" t="n">
        <x:v>0.0003206562940704198</x:v>
      </x:c>
      <x:c r="M65" s="26" t="n">
        <x:v>0.9701377717911632</x:v>
      </x:c>
      <x:c r="N65" s="26" t="n">
        <x:v>0.028985507246376812</x:v>
      </x:c>
      <x:c r="O65" s="26" t="n">
        <x:v>0.028985507246376812</x:v>
      </x:c>
      <x:c r="P65" s="26" t="n">
        <x:v>10</x:v>
      </x:c>
      <x:c r="Q65" s="26" t="n">
        <x:v>224</x:v>
      </x:c>
      <x:c r="R65" s="26" t="n">
        <x:v>224</x:v>
      </x:c>
      <x:c r="S65" s="26" t="n">
        <x:v>0</x:v>
      </x:c>
      <x:c r="T65" s="26" t="n">
        <x:v>0</x:v>
      </x:c>
      <x:c r="U65" s="26" t="n">
        <x:v>0</x:v>
      </x:c>
      <x:c r="V65" s="26" t="n">
        <x:v>0.5</x:v>
      </x:c>
      <x:c r="W65" s="26" t="n">
        <x:v>0</x:v>
      </x:c>
      <x:c r="X65" s="26" t="n">
        <x:v>0</x:v>
      </x:c>
      <x:c r="Y65" s="26" t="n">
        <x:v>0</x:v>
      </x:c>
      <x:c r="Z65" s="26" t="n">
        <x:v>0.5</x:v>
      </x:c>
      <x:c r="AA65" s="26" t="n">
        <x:v>0</x:v>
      </x:c>
      <x:c r="AB65" s="26" t="n">
        <x:v>0</x:v>
      </x:c>
      <x:c r="AC65" s="39" t="b">
        <x:v>1</x:v>
      </x:c>
      <x:c r="AD65" s="39" t="b">
        <x:v>0</x:v>
      </x:c>
      <x:c r="AE65" s="39" t="b">
        <x:v>0</x:v>
      </x:c>
      <x:c r="AF65" s="26" t="n">
        <x:v>-0.0022977555072665723</x:v>
      </x:c>
      <x:c r="AG65" s="26" t="n">
        <x:v>-0.00782270875942029</x:v>
      </x:c>
      <x:c r="AH65" s="26" t="n">
        <x:v>224</x:v>
      </x:c>
      <x:c r="AI65" s="26"/>
      <x:c r="AJ65" s="26" t="str">
        <x:v>결합 근거 부족</x:v>
      </x:c>
      <x:c r="AK65" s="27" t="str">
        <x:v>판매발생률·매출이 두 단독 방식보다 모두 높다는 조건을 충족하지 못함</x:v>
      </x:c>
    </x:row>
    <x:row r="66">
      <x:c r="A66" s="25" t="str">
        <x:v>DRUG GM</x:v>
      </x:c>
      <x:c r="B66" s="26" t="str">
        <x:v>AUTOMOTIVE PRODUCTS</x:v>
      </x:c>
      <x:c r="C66" s="26" t="n">
        <x:v>3</x:v>
      </x:c>
      <x:c r="D66" s="26" t="n">
        <x:v>143</x:v>
      </x:c>
      <x:c r="E66" s="26" t="n">
        <x:v>195</x:v>
      </x:c>
      <x:c r="F66" s="26" t="n">
        <x:v>0</x:v>
      </x:c>
      <x:c r="G66" s="26" t="n">
        <x:v>0</x:v>
      </x:c>
      <x:c r="H66" s="26" t="n">
        <x:v>0</x:v>
      </x:c>
      <x:c r="I66" s="26" t="n">
        <x:v>0.5</x:v>
      </x:c>
      <x:c r="J66" s="26" t="n">
        <x:v>-0.009718309333333333</x:v>
      </x:c>
      <x:c r="K66" s="26" t="n">
        <x:v>-0.028766195626666664</x:v>
      </x:c>
      <x:c r="L66" s="26" t="n">
        <x:v>0.00932957696</x:v>
      </x:c>
      <x:c r="M66" s="26" t="n">
        <x:v>0.8413447460685429</x:v>
      </x:c>
      <x:c r="N66" s="26" t="n">
        <x:v>0</x:v>
      </x:c>
      <x:c r="O66" s="26" t="n">
        <x:v>0</x:v>
      </x:c>
      <x:c r="P66" s="26" t="n">
        <x:v>2</x:v>
      </x:c>
      <x:c r="Q66" s="26" t="n">
        <x:v>54</x:v>
      </x:c>
      <x:c r="R66" s="26" t="n">
        <x:v>64</x:v>
      </x:c>
      <x:c r="S66" s="26" t="n">
        <x:v>0</x:v>
      </x:c>
      <x:c r="T66" s="26" t="n">
        <x:v>0</x:v>
      </x:c>
      <x:c r="U66" s="26" t="n">
        <x:v>0</x:v>
      </x:c>
      <x:c r="V66" s="26" t="n">
        <x:v>0.5</x:v>
      </x:c>
      <x:c r="W66" s="26" t="n">
        <x:v>0</x:v>
      </x:c>
      <x:c r="X66" s="26" t="n">
        <x:v>0</x:v>
      </x:c>
      <x:c r="Y66" s="26" t="n">
        <x:v>0</x:v>
      </x:c>
      <x:c r="Z66" s="26" t="n">
        <x:v>0.5</x:v>
      </x:c>
      <x:c r="AA66" s="26" t="n">
        <x:v>0</x:v>
      </x:c>
      <x:c r="AB66" s="26" t="n">
        <x:v>0</x:v>
      </x:c>
      <x:c r="AC66" s="39" t="b">
        <x:v>1</x:v>
      </x:c>
      <x:c r="AD66" s="39" t="b">
        <x:v>0</x:v>
      </x:c>
      <x:c r="AE66" s="39" t="b">
        <x:v>0</x:v>
      </x:c>
      <x:c r="AF66" s="26" t="n">
        <x:v>0</x:v>
      </x:c>
      <x:c r="AG66" s="26" t="n">
        <x:v>-0.009718309333333333</x:v>
      </x:c>
      <x:c r="AH66" s="26" t="n">
        <x:v>64</x:v>
      </x:c>
      <x:c r="AI66" s="26"/>
      <x:c r="AJ66" s="26" t="str">
        <x:v>결합 근거 부족</x:v>
      </x:c>
      <x:c r="AK66" s="27" t="str">
        <x:v>판매발생률·매출이 두 단독 방식보다 모두 높다는 조건을 충족하지 못함</x:v>
      </x:c>
    </x:row>
    <x:row r="67">
      <x:c r="A67" s="25" t="str">
        <x:v>DRUG GM</x:v>
      </x:c>
      <x:c r="B67" s="26" t="str">
        <x:v>CANDLES/ACCESSORIES</x:v>
      </x:c>
      <x:c r="C67" s="26" t="n">
        <x:v>34</x:v>
      </x:c>
      <x:c r="D67" s="26" t="n">
        <x:v>545</x:v>
      </x:c>
      <x:c r="E67" s="26" t="n">
        <x:v>959</x:v>
      </x:c>
      <x:c r="F67" s="26" t="n">
        <x:v>0.056947892980016734</x:v>
      </x:c>
      <x:c r="G67" s="26" t="n">
        <x:v>-0.028064474875156023</x:v>
      </x:c>
      <x:c r="H67" s="26" t="n">
        <x:v>0.14196026083518948</x:v>
      </x:c>
      <x:c r="I67" s="26" t="n">
        <x:v>0.09459815065517298</x:v>
      </x:c>
      <x:c r="J67" s="26" t="n">
        <x:v>0.017727217647058823</x:v>
      </x:c>
      <x:c r="K67" s="26" t="n">
        <x:v>-0.050778451968768124</x:v>
      </x:c>
      <x:c r="L67" s="26" t="n">
        <x:v>0.08623288726288578</x:v>
      </x:c>
      <x:c r="M67" s="26" t="n">
        <x:v>0.30601098065861954</x:v>
      </x:c>
      <x:c r="N67" s="26" t="n">
        <x:v>0.2647058823529412</x:v>
      </x:c>
      <x:c r="O67" s="26" t="n">
        <x:v>0.23529411764705882</x:v>
      </x:c>
      <x:c r="P67" s="26" t="n">
        <x:v>20</x:v>
      </x:c>
      <x:c r="Q67" s="26" t="n">
        <x:v>449</x:v>
      </x:c>
      <x:c r="R67" s="26" t="n">
        <x:v>693</x:v>
      </x:c>
      <x:c r="S67" s="26" t="n">
        <x:v>0.0014387961392982851</x:v>
      </x:c>
      <x:c r="T67" s="26" t="n">
        <x:v>-0.00361151475687969</x:v>
      </x:c>
      <x:c r="U67" s="26" t="n">
        <x:v>0.00648910703547626</x:v>
      </x:c>
      <x:c r="V67" s="26" t="n">
        <x:v>0.28828923028388986</x:v>
      </x:c>
      <x:c r="W67" s="26" t="n">
        <x:v>-0.009785570830000003</x:v>
      </x:c>
      <x:c r="X67" s="26" t="n">
        <x:v>-0.05978411275745574</x:v>
      </x:c>
      <x:c r="Y67" s="26" t="n">
        <x:v>0.04021297109745574</x:v>
      </x:c>
      <x:c r="Z67" s="26" t="n">
        <x:v>0.6493645918962883</x:v>
      </x:c>
      <x:c r="AA67" s="26" t="n">
        <x:v>0.15</x:v>
      </x:c>
      <x:c r="AB67" s="26" t="n">
        <x:v>0.05</x:v>
      </x:c>
      <x:c r="AC67" s="39" t="b">
        <x:v>1</x:v>
      </x:c>
      <x:c r="AD67" s="39" t="b">
        <x:v>0</x:v>
      </x:c>
      <x:c r="AE67" s="39" t="b">
        <x:v>0</x:v>
      </x:c>
      <x:c r="AF67" s="26" t="n">
        <x:v>0.0014387961392982851</x:v>
      </x:c>
      <x:c r="AG67" s="26" t="n">
        <x:v>-0.009785570830000003</x:v>
      </x:c>
      <x:c r="AH67" s="26" t="n">
        <x:v>693</x:v>
      </x:c>
      <x:c r="AI67" s="26"/>
      <x:c r="AJ67" s="26" t="str">
        <x:v>결합 근거 부족</x:v>
      </x:c>
      <x:c r="AK67" s="27" t="str">
        <x:v>판매발생률·매출이 두 단독 방식보다 모두 높다는 조건을 충족하지 못함</x:v>
      </x:c>
    </x:row>
    <x:row r="68">
      <x:c r="A68" s="25" t="str">
        <x:v>NUTRITION</x:v>
      </x:c>
      <x:c r="B68" s="26" t="str">
        <x:v>REFRIGERATED</x:v>
      </x:c>
      <x:c r="C68" s="26" t="n">
        <x:v>118</x:v>
      </x:c>
      <x:c r="D68" s="26" t="n">
        <x:v>1035</x:v>
      </x:c>
      <x:c r="E68" s="26" t="n">
        <x:v>1310</x:v>
      </x:c>
      <x:c r="F68" s="26" t="n">
        <x:v>0.0020977273211123977</x:v>
      </x:c>
      <x:c r="G68" s="26" t="n">
        <x:v>-0.007408124194620849</x:v>
      </x:c>
      <x:c r="H68" s="26" t="n">
        <x:v>0.011603578836845645</x:v>
      </x:c>
      <x:c r="I68" s="26" t="n">
        <x:v>0.33267890647854814</x:v>
      </x:c>
      <x:c r="J68" s="26" t="n">
        <x:v>-0.010800779432203393</x:v>
      </x:c>
      <x:c r="K68" s="26" t="n">
        <x:v>-0.04830357456457671</x:v>
      </x:c>
      <x:c r="L68" s="26" t="n">
        <x:v>0.026702015700169918</x:v>
      </x:c>
      <x:c r="M68" s="26" t="n">
        <x:v>0.7137857916647123</x:v>
      </x:c>
      <x:c r="N68" s="26" t="n">
        <x:v>0.05084745762711865</x:v>
      </x:c>
      <x:c r="O68" s="26" t="n">
        <x:v>0.05084745762711865</x:v>
      </x:c>
      <x:c r="P68" s="26" t="n">
        <x:v>29</x:v>
      </x:c>
      <x:c r="Q68" s="26" t="n">
        <x:v>57</x:v>
      </x:c>
      <x:c r="R68" s="26" t="n">
        <x:v>60</x:v>
      </x:c>
      <x:c r="S68" s="26" t="n">
        <x:v>0</x:v>
      </x:c>
      <x:c r="T68" s="26" t="n">
        <x:v>0</x:v>
      </x:c>
      <x:c r="U68" s="26" t="n">
        <x:v>0</x:v>
      </x:c>
      <x:c r="V68" s="26" t="n">
        <x:v>0.5</x:v>
      </x:c>
      <x:c r="W68" s="26" t="n">
        <x:v>0</x:v>
      </x:c>
      <x:c r="X68" s="26" t="n">
        <x:v>0</x:v>
      </x:c>
      <x:c r="Y68" s="26" t="n">
        <x:v>0</x:v>
      </x:c>
      <x:c r="Z68" s="26" t="n">
        <x:v>0.5</x:v>
      </x:c>
      <x:c r="AA68" s="26" t="n">
        <x:v>0</x:v>
      </x:c>
      <x:c r="AB68" s="26" t="n">
        <x:v>0</x:v>
      </x:c>
      <x:c r="AC68" s="39" t="b">
        <x:v>1</x:v>
      </x:c>
      <x:c r="AD68" s="39" t="b">
        <x:v>0</x:v>
      </x:c>
      <x:c r="AE68" s="39" t="b">
        <x:v>0</x:v>
      </x:c>
      <x:c r="AF68" s="26" t="n">
        <x:v>0</x:v>
      </x:c>
      <x:c r="AG68" s="26" t="n">
        <x:v>-0.010800779432203393</x:v>
      </x:c>
      <x:c r="AH68" s="26" t="n">
        <x:v>60</x:v>
      </x:c>
      <x:c r="AI68" s="26"/>
      <x:c r="AJ68" s="26" t="str">
        <x:v>결합 근거 부족</x:v>
      </x:c>
      <x:c r="AK68" s="27" t="str">
        <x:v>판매발생률·매출이 두 단독 방식보다 모두 높다는 조건을 충족하지 못함</x:v>
      </x:c>
    </x:row>
    <x:row r="69">
      <x:c r="A69" s="25" t="str">
        <x:v>GROCERY</x:v>
      </x:c>
      <x:c r="B69" s="26" t="str">
        <x:v>PAPER HOUSEWARES</x:v>
      </x:c>
      <x:c r="C69" s="26" t="n">
        <x:v>85</x:v>
      </x:c>
      <x:c r="D69" s="26" t="n">
        <x:v>1664</x:v>
      </x:c>
      <x:c r="E69" s="26" t="n">
        <x:v>2673</x:v>
      </x:c>
      <x:c r="F69" s="26" t="n">
        <x:v>-0.004942374026818245</x:v>
      </x:c>
      <x:c r="G69" s="26" t="n">
        <x:v>-0.012034044551822814</x:v>
      </x:c>
      <x:c r="H69" s="26" t="n">
        <x:v>0.002149296498186325</x:v>
      </x:c>
      <x:c r="I69" s="26" t="n">
        <x:v>0.914026781774444</x:v>
      </x:c>
      <x:c r="J69" s="26" t="n">
        <x:v>-0.011045529847058823</x:v>
      </x:c>
      <x:c r="K69" s="26" t="n">
        <x:v>-0.032120900850684614</x:v>
      </x:c>
      <x:c r="L69" s="26" t="n">
        <x:v>0.01002984115656697</x:v>
      </x:c>
      <x:c r="M69" s="26" t="n">
        <x:v>0.8478437466349986</x:v>
      </x:c>
      <x:c r="N69" s="26" t="n">
        <x:v>0.07058823529411765</x:v>
      </x:c>
      <x:c r="O69" s="26" t="n">
        <x:v>0.058823529411764705</x:v>
      </x:c>
      <x:c r="P69" s="26" t="n">
        <x:v>54</x:v>
      </x:c>
      <x:c r="Q69" s="26" t="n">
        <x:v>660</x:v>
      </x:c>
      <x:c r="R69" s="26" t="n">
        <x:v>731</x:v>
      </x:c>
      <x:c r="S69" s="26" t="n">
        <x:v>-0.00011485959761821836</x:v>
      </x:c>
      <x:c r="T69" s="26" t="n">
        <x:v>-0.008805084762131007</x:v>
      </x:c>
      <x:c r="U69" s="26" t="n">
        <x:v>0.00857536556689457</x:v>
      </x:c>
      <x:c r="V69" s="26" t="n">
        <x:v>0.510333651836149</x:v>
      </x:c>
      <x:c r="W69" s="26" t="n">
        <x:v>-0.004181133888888889</x:v>
      </x:c>
      <x:c r="X69" s="26" t="n">
        <x:v>-0.024175410871333933</x:v>
      </x:c>
      <x:c r="Y69" s="26" t="n">
        <x:v>0.015813143093556154</x:v>
      </x:c>
      <x:c r="Z69" s="26" t="n">
        <x:v>0.6590487584083989</x:v>
      </x:c>
      <x:c r="AA69" s="26" t="n">
        <x:v>0.037037037037037035</x:v>
      </x:c>
      <x:c r="AB69" s="26" t="n">
        <x:v>0.037037037037037035</x:v>
      </x:c>
      <x:c r="AC69" s="39" t="b">
        <x:v>1</x:v>
      </x:c>
      <x:c r="AD69" s="39" t="b">
        <x:v>0</x:v>
      </x:c>
      <x:c r="AE69" s="39" t="b">
        <x:v>0</x:v>
      </x:c>
      <x:c r="AF69" s="26" t="n">
        <x:v>-0.004942374026818245</x:v>
      </x:c>
      <x:c r="AG69" s="26" t="n">
        <x:v>-0.011045529847058823</x:v>
      </x:c>
      <x:c r="AH69" s="26" t="n">
        <x:v>731</x:v>
      </x:c>
      <x:c r="AI69" s="26"/>
      <x:c r="AJ69" s="26" t="str">
        <x:v>결합 근거 부족</x:v>
      </x:c>
      <x:c r="AK69" s="27" t="str">
        <x:v>판매발생률·매출이 두 단독 방식보다 모두 높다는 조건을 충족하지 못함</x:v>
      </x:c>
    </x:row>
    <x:row r="70">
      <x:c r="A70" s="25" t="str">
        <x:v>GROCERY</x:v>
      </x:c>
      <x:c r="B70" s="26" t="str">
        <x:v>MISC. DAIRY</x:v>
      </x:c>
      <x:c r="C70" s="26" t="n">
        <x:v>65</x:v>
      </x:c>
      <x:c r="D70" s="26" t="n">
        <x:v>178</x:v>
      </x:c>
      <x:c r="E70" s="26" t="n">
        <x:v>198</x:v>
      </x:c>
      <x:c r="F70" s="26" t="n">
        <x:v>-0.007148407148407148</x:v>
      </x:c>
      <x:c r="G70" s="26" t="n">
        <x:v>-0.02365545129063651</x:v>
      </x:c>
      <x:c r="H70" s="26" t="n">
        <x:v>0.00935863699382221</x:v>
      </x:c>
      <x:c r="I70" s="26" t="n">
        <x:v>0.8019986297850032</x:v>
      </x:c>
      <x:c r="J70" s="26" t="n">
        <x:v>-0.01173271169230769</x:v>
      </x:c>
      <x:c r="K70" s="26" t="n">
        <x:v>-0.043622852974414844</x:v>
      </x:c>
      <x:c r="L70" s="26" t="n">
        <x:v>0.020157429589799464</x:v>
      </x:c>
      <x:c r="M70" s="26" t="n">
        <x:v>0.7645772973859997</x:v>
      </x:c>
      <x:c r="N70" s="26" t="n">
        <x:v>0.03076923076923077</x:v>
      </x:c>
      <x:c r="O70" s="26" t="n">
        <x:v>0.03076923076923077</x:v>
      </x:c>
      <x:c r="P70" s="26" t="n">
        <x:v>63</x:v>
      </x:c>
      <x:c r="Q70" s="26" t="n">
        <x:v>568</x:v>
      </x:c>
      <x:c r="R70" s="26" t="n">
        <x:v>647</x:v>
      </x:c>
      <x:c r="S70" s="26" t="n">
        <x:v>0.014247921390778531</x:v>
      </x:c>
      <x:c r="T70" s="26" t="n">
        <x:v>-0.0016514131932274488</x:v>
      </x:c>
      <x:c r="U70" s="26" t="n">
        <x:v>0.03014725597478451</x:v>
      </x:c>
      <x:c r="V70" s="26" t="n">
        <x:v>0.03950827068700273</x:v>
      </x:c>
      <x:c r="W70" s="26" t="n">
        <x:v>0.03724389593809523</x:v>
      </x:c>
      <x:c r="X70" s="26" t="n">
        <x:v>-0.005584057845010662</x:v>
      </x:c>
      <x:c r="Y70" s="26" t="n">
        <x:v>0.08007184972120113</x:v>
      </x:c>
      <x:c r="Z70" s="26" t="n">
        <x:v>0.04414867689320608</x:v>
      </x:c>
      <x:c r="AA70" s="26" t="n">
        <x:v>0.12698412698412698</x:v>
      </x:c>
      <x:c r="AB70" s="26" t="n">
        <x:v>0.1746031746031746</x:v>
      </x:c>
      <x:c r="AC70" s="39" t="b">
        <x:v>1</x:v>
      </x:c>
      <x:c r="AD70" s="39" t="b">
        <x:v>0</x:v>
      </x:c>
      <x:c r="AE70" s="39" t="b">
        <x:v>0</x:v>
      </x:c>
      <x:c r="AF70" s="26" t="n">
        <x:v>-0.007148407148407148</x:v>
      </x:c>
      <x:c r="AG70" s="26" t="n">
        <x:v>-0.01173271169230769</x:v>
      </x:c>
      <x:c r="AH70" s="26" t="n">
        <x:v>198</x:v>
      </x:c>
      <x:c r="AI70" s="26"/>
      <x:c r="AJ70" s="26" t="str">
        <x:v>결합 근거 부족</x:v>
      </x:c>
      <x:c r="AK70" s="27" t="str">
        <x:v>판매발생률·매출이 두 단독 방식보다 모두 높다는 조건을 충족하지 못함</x:v>
      </x:c>
    </x:row>
    <x:row r="71">
      <x:c r="A71" s="25" t="str">
        <x:v>GROCERY</x:v>
      </x:c>
      <x:c r="B71" s="26" t="str">
        <x:v>FACIAL TISS/DNR NAPKIN</x:v>
      </x:c>
      <x:c r="C71" s="26" t="n">
        <x:v>46</x:v>
      </x:c>
      <x:c r="D71" s="26" t="n">
        <x:v>891</x:v>
      </x:c>
      <x:c r="E71" s="26" t="n">
        <x:v>1360</x:v>
      </x:c>
      <x:c r="F71" s="26" t="n">
        <x:v>-0.005493875086266389</x:v>
      </x:c>
      <x:c r="G71" s="26" t="n">
        <x:v>-0.013636521119059592</x:v>
      </x:c>
      <x:c r="H71" s="26" t="n">
        <x:v>0.002648770946526815</x:v>
      </x:c>
      <x:c r="I71" s="26" t="n">
        <x:v>0.906985776519414</x:v>
      </x:c>
      <x:c r="J71" s="26" t="n">
        <x:v>-0.01248479989130435</x:v>
      </x:c>
      <x:c r="K71" s="26" t="n">
        <x:v>-0.028604441531967124</x:v>
      </x:c>
      <x:c r="L71" s="26" t="n">
        <x:v>0.003634841749358424</x:v>
      </x:c>
      <x:c r="M71" s="26" t="n">
        <x:v>0.9354974279141375</x:v>
      </x:c>
      <x:c r="N71" s="26" t="n">
        <x:v>0.043478260869565216</x:v>
      </x:c>
      <x:c r="O71" s="26" t="n">
        <x:v>0.021739130434782608</x:v>
      </x:c>
      <x:c r="P71" s="26" t="n">
        <x:v>32</x:v>
      </x:c>
      <x:c r="Q71" s="26" t="n">
        <x:v>493</x:v>
      </x:c>
      <x:c r="R71" s="26" t="n">
        <x:v>531</x:v>
      </x:c>
      <x:c r="S71" s="26" t="n">
        <x:v>0.008011281769228853</x:v>
      </x:c>
      <x:c r="T71" s="26" t="n">
        <x:v>-0.023478907821583465</x:v>
      </x:c>
      <x:c r="U71" s="26" t="n">
        <x:v>0.039501471360041174</x:v>
      </x:c>
      <x:c r="V71" s="26" t="n">
        <x:v>0.30901825409054495</x:v>
      </x:c>
      <x:c r="W71" s="26" t="n">
        <x:v>0.0255424735625</x:v>
      </x:c>
      <x:c r="X71" s="26" t="n">
        <x:v>-0.030420186739630865</x:v>
      </x:c>
      <x:c r="Y71" s="26" t="n">
        <x:v>0.08150513386463087</x:v>
      </x:c>
      <x:c r="Z71" s="26" t="n">
        <x:v>0.18550500397819863</x:v>
      </x:c>
      <x:c r="AA71" s="26" t="n">
        <x:v>0.15625</x:v>
      </x:c>
      <x:c r="AB71" s="26" t="n">
        <x:v>0.1875</x:v>
      </x:c>
      <x:c r="AC71" s="39" t="b">
        <x:v>1</x:v>
      </x:c>
      <x:c r="AD71" s="39" t="b">
        <x:v>0</x:v>
      </x:c>
      <x:c r="AE71" s="39" t="b">
        <x:v>0</x:v>
      </x:c>
      <x:c r="AF71" s="26" t="n">
        <x:v>-0.005493875086266389</x:v>
      </x:c>
      <x:c r="AG71" s="26" t="n">
        <x:v>-0.01248479989130435</x:v>
      </x:c>
      <x:c r="AH71" s="26" t="n">
        <x:v>531</x:v>
      </x:c>
      <x:c r="AI71" s="26"/>
      <x:c r="AJ71" s="26" t="str">
        <x:v>결합 근거 부족</x:v>
      </x:c>
      <x:c r="AK71" s="27" t="str">
        <x:v>판매발생률·매출이 두 단독 방식보다 모두 높다는 조건을 충족하지 못함</x:v>
      </x:c>
    </x:row>
    <x:row r="72">
      <x:c r="A72" s="25" t="str">
        <x:v>GROCERY</x:v>
      </x:c>
      <x:c r="B72" s="26" t="str">
        <x:v>DRY SAUCES/GRAVY</x:v>
      </x:c>
      <x:c r="C72" s="26" t="n">
        <x:v>19</x:v>
      </x:c>
      <x:c r="D72" s="26" t="n">
        <x:v>614</x:v>
      </x:c>
      <x:c r="E72" s="26" t="n">
        <x:v>1851</x:v>
      </x:c>
      <x:c r="F72" s="26" t="n">
        <x:v>0.0027854388719050368</x:v>
      </x:c>
      <x:c r="G72" s="26" t="n">
        <x:v>-0.005456448976224319</x:v>
      </x:c>
      <x:c r="H72" s="26" t="n">
        <x:v>0.011027326720034394</x:v>
      </x:c>
      <x:c r="I72" s="26" t="n">
        <x:v>0.2538561428108633</x:v>
      </x:c>
      <x:c r="J72" s="26" t="n">
        <x:v>0.004370115526315789</x:v>
      </x:c>
      <x:c r="K72" s="26" t="n">
        <x:v>-0.012433813525913726</x:v>
      </x:c>
      <x:c r="L72" s="26" t="n">
        <x:v>0.021174044578545305</x:v>
      </x:c>
      <x:c r="M72" s="26" t="n">
        <x:v>0.3051211569236627</x:v>
      </x:c>
      <x:c r="N72" s="26" t="n">
        <x:v>0.15789473684210525</x:v>
      </x:c>
      <x:c r="O72" s="26" t="n">
        <x:v>0.10526315789473684</x:v>
      </x:c>
      <x:c r="P72" s="26" t="n">
        <x:v>15</x:v>
      </x:c>
      <x:c r="Q72" s="26" t="n">
        <x:v>574</x:v>
      </x:c>
      <x:c r="R72" s="26" t="n">
        <x:v>1225</x:v>
      </x:c>
      <x:c r="S72" s="26" t="n">
        <x:v>-0.00440784448385592</x:v>
      </x:c>
      <x:c r="T72" s="26" t="n">
        <x:v>-0.01711736884885328</x:v>
      </x:c>
      <x:c r="U72" s="26" t="n">
        <x:v>0.008301679881141442</x:v>
      </x:c>
      <x:c r="V72" s="26" t="n">
        <x:v>0.7516705080934221</x:v>
      </x:c>
      <x:c r="W72" s="26" t="n">
        <x:v>-0.014388915666666667</x:v>
      </x:c>
      <x:c r="X72" s="26" t="n">
        <x:v>-0.047380342226775396</x:v>
      </x:c>
      <x:c r="Y72" s="26" t="n">
        <x:v>0.01860251089344206</x:v>
      </x:c>
      <x:c r="Z72" s="26" t="n">
        <x:v>0.8036791581682853</x:v>
      </x:c>
      <x:c r="AA72" s="26" t="n">
        <x:v>0.13333333333333333</x:v>
      </x:c>
      <x:c r="AB72" s="26" t="n">
        <x:v>0.06666666666666667</x:v>
      </x:c>
      <x:c r="AC72" s="39" t="b">
        <x:v>1</x:v>
      </x:c>
      <x:c r="AD72" s="39" t="b">
        <x:v>0</x:v>
      </x:c>
      <x:c r="AE72" s="39" t="b">
        <x:v>0</x:v>
      </x:c>
      <x:c r="AF72" s="26" t="n">
        <x:v>-0.00440784448385592</x:v>
      </x:c>
      <x:c r="AG72" s="26" t="n">
        <x:v>-0.014388915666666667</x:v>
      </x:c>
      <x:c r="AH72" s="26" t="n">
        <x:v>1225</x:v>
      </x:c>
      <x:c r="AI72" s="26"/>
      <x:c r="AJ72" s="26" t="str">
        <x:v>결합 근거 부족</x:v>
      </x:c>
      <x:c r="AK72" s="27" t="str">
        <x:v>판매발생률·매출이 두 단독 방식보다 모두 높다는 조건을 충족하지 못함</x:v>
      </x:c>
    </x:row>
    <x:row r="73">
      <x:c r="A73" s="25" t="str">
        <x:v>GROCERY</x:v>
      </x:c>
      <x:c r="B73" s="26" t="str">
        <x:v>FRZN JCE CONC/DRNKS</x:v>
      </x:c>
      <x:c r="C73" s="26" t="n">
        <x:v>42</x:v>
      </x:c>
      <x:c r="D73" s="26" t="n">
        <x:v>262</x:v>
      </x:c>
      <x:c r="E73" s="26" t="n">
        <x:v>337</x:v>
      </x:c>
      <x:c r="F73" s="26" t="n">
        <x:v>-0.007612179487179485</x:v>
      </x:c>
      <x:c r="G73" s="26" t="n">
        <x:v>-0.023480375414477353</x:v>
      </x:c>
      <x:c r="H73" s="26" t="n">
        <x:v>0.008256016440118384</x:v>
      </x:c>
      <x:c r="I73" s="26" t="n">
        <x:v>0.8264521074506564</x:v>
      </x:c>
      <x:c r="J73" s="26" t="n">
        <x:v>-0.014397893809523811</x:v>
      </x:c>
      <x:c r="K73" s="26" t="n">
        <x:v>-0.04562707450860656</x:v>
      </x:c>
      <x:c r="L73" s="26" t="n">
        <x:v>0.01683128688955894</x:v>
      </x:c>
      <x:c r="M73" s="26" t="n">
        <x:v>0.8169062862308454</x:v>
      </x:c>
      <x:c r="N73" s="26" t="n">
        <x:v>0.023809523809523808</x:v>
      </x:c>
      <x:c r="O73" s="26" t="n">
        <x:v>0.023809523809523808</x:v>
      </x:c>
      <x:c r="P73" s="26" t="n">
        <x:v>13</x:v>
      </x:c>
      <x:c r="Q73" s="26" t="n">
        <x:v>85</x:v>
      </x:c>
      <x:c r="R73" s="26" t="n">
        <x:v>85</x:v>
      </x:c>
      <x:c r="S73" s="26" t="n">
        <x:v>0.005917159763313608</x:v>
      </x:c>
      <x:c r="T73" s="26" t="n">
        <x:v>-0.005680473372781062</x:v>
      </x:c>
      <x:c r="U73" s="26" t="n">
        <x:v>0.01751479289940828</x:v>
      </x:c>
      <x:c r="V73" s="26" t="n">
        <x:v>0.15865525393145705</x:v>
      </x:c>
      <x:c r="W73" s="26" t="n">
        <x:v>0.00591716</x:v>
      </x:c>
      <x:c r="X73" s="26" t="n">
        <x:v>-0.005680473600000002</x:v>
      </x:c>
      <x:c r="Y73" s="26" t="n">
        <x:v>0.017514793600000002</x:v>
      </x:c>
      <x:c r="Z73" s="26" t="n">
        <x:v>0.15865525393145713</x:v>
      </x:c>
      <x:c r="AA73" s="26" t="n">
        <x:v>0.07692307692307693</x:v>
      </x:c>
      <x:c r="AB73" s="26" t="n">
        <x:v>0.07692307692307693</x:v>
      </x:c>
      <x:c r="AC73" s="39" t="b">
        <x:v>1</x:v>
      </x:c>
      <x:c r="AD73" s="39" t="b">
        <x:v>0</x:v>
      </x:c>
      <x:c r="AE73" s="39" t="b">
        <x:v>0</x:v>
      </x:c>
      <x:c r="AF73" s="26" t="n">
        <x:v>-0.007612179487179485</x:v>
      </x:c>
      <x:c r="AG73" s="26" t="n">
        <x:v>-0.014397893809523811</x:v>
      </x:c>
      <x:c r="AH73" s="26" t="n">
        <x:v>85</x:v>
      </x:c>
      <x:c r="AI73" s="26"/>
      <x:c r="AJ73" s="26" t="str">
        <x:v>결합 근거 부족</x:v>
      </x:c>
      <x:c r="AK73" s="27" t="str">
        <x:v>판매발생률·매출이 두 단독 방식보다 모두 높다는 조건을 충족하지 못함</x:v>
      </x:c>
    </x:row>
    <x:row r="74">
      <x:c r="A74" s="25" t="str">
        <x:v>PASTRY</x:v>
      </x:c>
      <x:c r="B74" s="26" t="str">
        <x:v>BREAD</x:v>
      </x:c>
      <x:c r="C74" s="26" t="n">
        <x:v>54</x:v>
      </x:c>
      <x:c r="D74" s="26" t="n">
        <x:v>295</x:v>
      </x:c>
      <x:c r="E74" s="26" t="n">
        <x:v>377</x:v>
      </x:c>
      <x:c r="F74" s="26" t="n">
        <x:v>-0.0063852813852813845</x:v>
      </x:c>
      <x:c r="G74" s="26" t="n">
        <x:v>-0.02153516798433156</x:v>
      </x:c>
      <x:c r="H74" s="26" t="n">
        <x:v>0.008764605213768793</x:v>
      </x:c>
      <x:c r="I74" s="26" t="n">
        <x:v>0.7956231373712264</x:v>
      </x:c>
      <x:c r="J74" s="26" t="n">
        <x:v>-0.005271765166666666</x:v>
      </x:c>
      <x:c r="K74" s="26" t="n">
        <x:v>-0.028800182329459467</x:v>
      </x:c>
      <x:c r="L74" s="26" t="n">
        <x:v>0.01825665199612614</x:v>
      </x:c>
      <x:c r="M74" s="26" t="n">
        <x:v>0.6697259657856722</x:v>
      </x:c>
      <x:c r="N74" s="26" t="n">
        <x:v>0.05555555555555555</x:v>
      </x:c>
      <x:c r="O74" s="26" t="n">
        <x:v>0.05555555555555555</x:v>
      </x:c>
      <x:c r="P74" s="26" t="n">
        <x:v>24</x:v>
      </x:c>
      <x:c r="Q74" s="26" t="n">
        <x:v>145</x:v>
      </x:c>
      <x:c r="R74" s="26" t="n">
        <x:v>153</x:v>
      </x:c>
      <x:c r="S74" s="26" t="n">
        <x:v>-0.014069264069264066</x:v>
      </x:c>
      <x:c r="T74" s="26" t="n">
        <x:v>-0.05016240602165618</x:v>
      </x:c>
      <x:c r="U74" s="26" t="n">
        <x:v>0.022023877883128054</x:v>
      </x:c>
      <x:c r="V74" s="26" t="n">
        <x:v>0.7775713081597548</x:v>
      </x:c>
      <x:c r="W74" s="26" t="n">
        <x:v>-0.0144324925</x:v>
      </x:c>
      <x:c r="X74" s="26" t="n">
        <x:v>-0.07831170781843527</x:v>
      </x:c>
      <x:c r="Y74" s="26" t="n">
        <x:v>0.04944672281843527</x:v>
      </x:c>
      <x:c r="Z74" s="26" t="n">
        <x:v>0.6710559454656981</x:v>
      </x:c>
      <x:c r="AA74" s="26" t="n">
        <x:v>0.041666666666666664</x:v>
      </x:c>
      <x:c r="AB74" s="26" t="n">
        <x:v>0.08333333333333333</x:v>
      </x:c>
      <x:c r="AC74" s="39" t="b">
        <x:v>1</x:v>
      </x:c>
      <x:c r="AD74" s="39" t="b">
        <x:v>0</x:v>
      </x:c>
      <x:c r="AE74" s="39" t="b">
        <x:v>0</x:v>
      </x:c>
      <x:c r="AF74" s="26" t="n">
        <x:v>-0.014069264069264066</x:v>
      </x:c>
      <x:c r="AG74" s="26" t="n">
        <x:v>-0.0144324925</x:v>
      </x:c>
      <x:c r="AH74" s="26" t="n">
        <x:v>153</x:v>
      </x:c>
      <x:c r="AI74" s="26"/>
      <x:c r="AJ74" s="26" t="str">
        <x:v>결합 근거 부족</x:v>
      </x:c>
      <x:c r="AK74" s="27" t="str">
        <x:v>판매발생률·매출이 두 단독 방식보다 모두 높다는 조건을 충족하지 못함</x:v>
      </x:c>
    </x:row>
    <x:row r="75">
      <x:c r="A75" s="25" t="str">
        <x:v>DRUG GM</x:v>
      </x:c>
      <x:c r="B75" s="26" t="str">
        <x:v>COOKWARE &amp; BAKEWARE</x:v>
      </x:c>
      <x:c r="C75" s="26" t="n">
        <x:v>28</x:v>
      </x:c>
      <x:c r="D75" s="26" t="n">
        <x:v>247</x:v>
      </x:c>
      <x:c r="E75" s="26" t="n">
        <x:v>258</x:v>
      </x:c>
      <x:c r="F75" s="26" t="n">
        <x:v>-0.0034340659340659323</x:v>
      </x:c>
      <x:c r="G75" s="26" t="n">
        <x:v>-0.008935818887238864</x:v>
      </x:c>
      <x:c r="H75" s="26" t="n">
        <x:v>0.0020676870191069984</x:v>
      </x:c>
      <x:c r="I75" s="26" t="n">
        <x:v>0.8894080887531105</x:v>
      </x:c>
      <x:c r="J75" s="26" t="n">
        <x:v>-0.014739011071428571</x:v>
      </x:c>
      <x:c r="K75" s="26" t="n">
        <x:v>-0.035213159290442095</x:v>
      </x:c>
      <x:c r="L75" s="26" t="n">
        <x:v>0.005735137147584949</x:v>
      </x:c>
      <x:c r="M75" s="26" t="n">
        <x:v>0.920873650111488</x:v>
      </x:c>
      <x:c r="N75" s="26" t="n">
        <x:v>0</x:v>
      </x:c>
      <x:c r="O75" s="26" t="n">
        <x:v>0</x:v>
      </x:c>
      <x:c r="P75" s="26" t="n">
        <x:v>3</x:v>
      </x:c>
      <x:c r="Q75" s="26" t="n">
        <x:v>10</x:v>
      </x:c>
      <x:c r="R75" s="26" t="n">
        <x:v>10</x:v>
      </x:c>
      <x:c r="S75" s="26" t="n">
        <x:v>0</x:v>
      </x:c>
      <x:c r="T75" s="26" t="n">
        <x:v>0</x:v>
      </x:c>
      <x:c r="U75" s="26" t="n">
        <x:v>0</x:v>
      </x:c>
      <x:c r="V75" s="26" t="n">
        <x:v>0.5</x:v>
      </x:c>
      <x:c r="W75" s="26" t="n">
        <x:v>0</x:v>
      </x:c>
      <x:c r="X75" s="26" t="n">
        <x:v>0</x:v>
      </x:c>
      <x:c r="Y75" s="26" t="n">
        <x:v>0</x:v>
      </x:c>
      <x:c r="Z75" s="26" t="n">
        <x:v>0.5</x:v>
      </x:c>
      <x:c r="AA75" s="26" t="n">
        <x:v>0</x:v>
      </x:c>
      <x:c r="AB75" s="26" t="n">
        <x:v>0</x:v>
      </x:c>
      <x:c r="AC75" s="39" t="b">
        <x:v>1</x:v>
      </x:c>
      <x:c r="AD75" s="39" t="b">
        <x:v>0</x:v>
      </x:c>
      <x:c r="AE75" s="39" t="b">
        <x:v>0</x:v>
      </x:c>
      <x:c r="AF75" s="26" t="n">
        <x:v>-0.0034340659340659323</x:v>
      </x:c>
      <x:c r="AG75" s="26" t="n">
        <x:v>-0.014739011071428571</x:v>
      </x:c>
      <x:c r="AH75" s="26" t="n">
        <x:v>10</x:v>
      </x:c>
      <x:c r="AI75" s="26"/>
      <x:c r="AJ75" s="26" t="str">
        <x:v>결합 근거 부족</x:v>
      </x:c>
      <x:c r="AK75" s="27" t="str">
        <x:v>판매발생률·매출이 두 단독 방식보다 모두 높다는 조건을 충족하지 못함</x:v>
      </x:c>
    </x:row>
    <x:row r="76">
      <x:c r="A76" s="25" t="str">
        <x:v>NUTRITION</x:v>
      </x:c>
      <x:c r="B76" s="26" t="str">
        <x:v>FITNESS&amp;DIET</x:v>
      </x:c>
      <x:c r="C76" s="26" t="n">
        <x:v>185</x:v>
      </x:c>
      <x:c r="D76" s="26" t="n">
        <x:v>4560</x:v>
      </x:c>
      <x:c r="E76" s="26" t="n">
        <x:v>7530</x:v>
      </x:c>
      <x:c r="F76" s="26" t="n">
        <x:v>0.003890644847829147</x:v>
      </x:c>
      <x:c r="G76" s="26" t="n">
        <x:v>-0.0003007011779999334</x:v>
      </x:c>
      <x:c r="H76" s="26" t="n">
        <x:v>0.008081990873658228</x:v>
      </x:c>
      <x:c r="I76" s="26" t="n">
        <x:v>0.034426505679978354</x:v>
      </x:c>
      <x:c r="J76" s="26" t="n">
        <x:v>-0.014886367292972975</x:v>
      </x:c>
      <x:c r="K76" s="26" t="n">
        <x:v>-0.04609125608342598</x:v>
      </x:c>
      <x:c r="L76" s="26" t="n">
        <x:v>0.016318521497480025</x:v>
      </x:c>
      <x:c r="M76" s="26" t="n">
        <x:v>0.8251117038056379</x:v>
      </x:c>
      <x:c r="N76" s="26" t="n">
        <x:v>0.16216216216216217</x:v>
      </x:c>
      <x:c r="O76" s="26" t="n">
        <x:v>0.15675675675675677</x:v>
      </x:c>
      <x:c r="P76" s="26" t="n">
        <x:v>31</x:v>
      </x:c>
      <x:c r="Q76" s="26" t="n">
        <x:v>517</x:v>
      </x:c>
      <x:c r="R76" s="26" t="n">
        <x:v>583</x:v>
      </x:c>
      <x:c r="S76" s="26" t="n">
        <x:v>-0.0016992505702183066</x:v>
      </x:c>
      <x:c r="T76" s="26" t="n">
        <x:v>-0.009939802121620864</x:v>
      </x:c>
      <x:c r="U76" s="26" t="n">
        <x:v>0.006541300981184251</x:v>
      </x:c>
      <x:c r="V76" s="26" t="n">
        <x:v>0.6569537967118557</x:v>
      </x:c>
      <x:c r="W76" s="26" t="n">
        <x:v>-0.0041723688709677425</x:v>
      </x:c>
      <x:c r="X76" s="26" t="n">
        <x:v>-0.021724975711812682</x:v>
      </x:c>
      <x:c r="Y76" s="26" t="n">
        <x:v>0.013380237969877199</x:v>
      </x:c>
      <x:c r="Z76" s="26" t="n">
        <x:v>0.6793581612329719</x:v>
      </x:c>
      <x:c r="AA76" s="26" t="n">
        <x:v>0.0967741935483871</x:v>
      </x:c>
      <x:c r="AB76" s="26" t="n">
        <x:v>0.0967741935483871</x:v>
      </x:c>
      <x:c r="AC76" s="39" t="b">
        <x:v>1</x:v>
      </x:c>
      <x:c r="AD76" s="39" t="b">
        <x:v>0</x:v>
      </x:c>
      <x:c r="AE76" s="39" t="b">
        <x:v>0</x:v>
      </x:c>
      <x:c r="AF76" s="26" t="n">
        <x:v>-0.0016992505702183066</x:v>
      </x:c>
      <x:c r="AG76" s="26" t="n">
        <x:v>-0.014886367292972975</x:v>
      </x:c>
      <x:c r="AH76" s="26" t="n">
        <x:v>583</x:v>
      </x:c>
      <x:c r="AI76" s="26"/>
      <x:c r="AJ76" s="26" t="str">
        <x:v>결합 근거 부족</x:v>
      </x:c>
      <x:c r="AK76" s="27" t="str">
        <x:v>판매발생률·매출이 두 단독 방식보다 모두 높다는 조건을 충족하지 못함</x:v>
      </x:c>
    </x:row>
    <x:row r="77">
      <x:c r="A77" s="25" t="str">
        <x:v>GROCERY</x:v>
      </x:c>
      <x:c r="B77" s="26" t="str">
        <x:v>DOMESTIC WINE</x:v>
      </x:c>
      <x:c r="C77" s="26" t="n">
        <x:v>89</x:v>
      </x:c>
      <x:c r="D77" s="26" t="n">
        <x:v>1105</x:v>
      </x:c>
      <x:c r="E77" s="26" t="n">
        <x:v>1390</x:v>
      </x:c>
      <x:c r="F77" s="26" t="n">
        <x:v>-0.0018759356501300121</x:v>
      </x:c>
      <x:c r="G77" s="26" t="n">
        <x:v>-0.006852177143836797</x:v>
      </x:c>
      <x:c r="H77" s="26" t="n">
        <x:v>0.003100305843576773</x:v>
      </x:c>
      <x:c r="I77" s="26" t="n">
        <x:v>0.7700093679732726</x:v>
      </x:c>
      <x:c r="J77" s="26" t="n">
        <x:v>-0.015066751910112358</x:v>
      </x:c>
      <x:c r="K77" s="26" t="n">
        <x:v>-0.10454678238244317</x:v>
      </x:c>
      <x:c r="L77" s="26" t="n">
        <x:v>0.07441327856221844</x:v>
      </x:c>
      <x:c r="M77" s="26" t="n">
        <x:v>0.6293102521385001</x:v>
      </x:c>
      <x:c r="N77" s="26" t="n">
        <x:v>0.056179775280898875</x:v>
      </x:c>
      <x:c r="O77" s="26" t="n">
        <x:v>0.056179775280898875</x:v>
      </x:c>
      <x:c r="P77" s="26" t="n">
        <x:v>8</x:v>
      </x:c>
      <x:c r="Q77" s="26" t="n">
        <x:v>26</x:v>
      </x:c>
      <x:c r="R77" s="26" t="n">
        <x:v>26</x:v>
      </x:c>
      <x:c r="S77" s="26" t="n">
        <x:v>0</x:v>
      </x:c>
      <x:c r="T77" s="26" t="n">
        <x:v>0</x:v>
      </x:c>
      <x:c r="U77" s="26" t="n">
        <x:v>0</x:v>
      </x:c>
      <x:c r="V77" s="26" t="n">
        <x:v>0.5</x:v>
      </x:c>
      <x:c r="W77" s="26" t="n">
        <x:v>0</x:v>
      </x:c>
      <x:c r="X77" s="26" t="n">
        <x:v>0</x:v>
      </x:c>
      <x:c r="Y77" s="26" t="n">
        <x:v>0</x:v>
      </x:c>
      <x:c r="Z77" s="26" t="n">
        <x:v>0.5</x:v>
      </x:c>
      <x:c r="AA77" s="26" t="n">
        <x:v>0</x:v>
      </x:c>
      <x:c r="AB77" s="26" t="n">
        <x:v>0</x:v>
      </x:c>
      <x:c r="AC77" s="39" t="b">
        <x:v>1</x:v>
      </x:c>
      <x:c r="AD77" s="39" t="b">
        <x:v>0</x:v>
      </x:c>
      <x:c r="AE77" s="39" t="b">
        <x:v>0</x:v>
      </x:c>
      <x:c r="AF77" s="26" t="n">
        <x:v>-0.0018759356501300121</x:v>
      </x:c>
      <x:c r="AG77" s="26" t="n">
        <x:v>-0.015066751910112358</x:v>
      </x:c>
      <x:c r="AH77" s="26" t="n">
        <x:v>26</x:v>
      </x:c>
      <x:c r="AI77" s="26"/>
      <x:c r="AJ77" s="26" t="str">
        <x:v>결합 근거 부족</x:v>
      </x:c>
      <x:c r="AK77" s="27" t="str">
        <x:v>판매발생률·매출이 두 단독 방식보다 모두 높다는 조건을 충족하지 못함</x:v>
      </x:c>
    </x:row>
    <x:row r="78">
      <x:c r="A78" s="25" t="str">
        <x:v>GROCERY</x:v>
      </x:c>
      <x:c r="B78" s="26" t="str">
        <x:v>PNT BTR/JELLY/JAMS</x:v>
      </x:c>
      <x:c r="C78" s="26" t="n">
        <x:v>111</x:v>
      </x:c>
      <x:c r="D78" s="26" t="n">
        <x:v>4014</x:v>
      </x:c>
      <x:c r="E78" s="26" t="n">
        <x:v>16225</x:v>
      </x:c>
      <x:c r="F78" s="26" t="n">
        <x:v>-0.0002070002132777108</x:v>
      </x:c>
      <x:c r="G78" s="26" t="n">
        <x:v>-0.01186213532539984</x:v>
      </x:c>
      <x:c r="H78" s="26" t="n">
        <x:v>0.01144813489884442</x:v>
      </x:c>
      <x:c r="I78" s="26" t="n">
        <x:v>0.5138845533680402</x:v>
      </x:c>
      <x:c r="J78" s="26" t="n">
        <x:v>-0.001335644063063065</x:v>
      </x:c>
      <x:c r="K78" s="26" t="n">
        <x:v>-0.02608953147131888</x:v>
      </x:c>
      <x:c r="L78" s="26" t="n">
        <x:v>0.023418243345192748</x:v>
      </x:c>
      <x:c r="M78" s="26" t="n">
        <x:v>0.5421118697642509</x:v>
      </x:c>
      <x:c r="N78" s="26" t="n">
        <x:v>0.09009009009009009</x:v>
      </x:c>
      <x:c r="O78" s="26" t="n">
        <x:v>0.09009009009009009</x:v>
      </x:c>
      <x:c r="P78" s="26" t="n">
        <x:v>48</x:v>
      </x:c>
      <x:c r="Q78" s="26" t="n">
        <x:v>1585</x:v>
      </x:c>
      <x:c r="R78" s="26" t="n">
        <x:v>2064</x:v>
      </x:c>
      <x:c r="S78" s="26" t="n">
        <x:v>-0.005189614182710574</x:v>
      </x:c>
      <x:c r="T78" s="26" t="n">
        <x:v>-0.0166545656343906</x:v>
      </x:c>
      <x:c r="U78" s="26" t="n">
        <x:v>0.006275337268969452</x:v>
      </x:c>
      <x:c r="V78" s="26" t="n">
        <x:v>0.8125129487189232</x:v>
      </x:c>
      <x:c r="W78" s="26" t="n">
        <x:v>-0.016161929250000002</x:v>
      </x:c>
      <x:c r="X78" s="26" t="n">
        <x:v>-0.04102511525634586</x:v>
      </x:c>
      <x:c r="Y78" s="26" t="n">
        <x:v>0.008701256756345855</x:v>
      </x:c>
      <x:c r="Z78" s="26" t="n">
        <x:v>0.8986802815636992</x:v>
      </x:c>
      <x:c r="AA78" s="26" t="n">
        <x:v>0.041666666666666664</x:v>
      </x:c>
      <x:c r="AB78" s="26" t="n">
        <x:v>0.041666666666666664</x:v>
      </x:c>
      <x:c r="AC78" s="39" t="b">
        <x:v>1</x:v>
      </x:c>
      <x:c r="AD78" s="39" t="b">
        <x:v>0</x:v>
      </x:c>
      <x:c r="AE78" s="39" t="b">
        <x:v>0</x:v>
      </x:c>
      <x:c r="AF78" s="26" t="n">
        <x:v>-0.005189614182710574</x:v>
      </x:c>
      <x:c r="AG78" s="26" t="n">
        <x:v>-0.016161929250000002</x:v>
      </x:c>
      <x:c r="AH78" s="26" t="n">
        <x:v>2064</x:v>
      </x:c>
      <x:c r="AI78" s="26"/>
      <x:c r="AJ78" s="26" t="str">
        <x:v>결합 근거 부족</x:v>
      </x:c>
      <x:c r="AK78" s="27" t="str">
        <x:v>판매발생률·매출이 두 단독 방식보다 모두 높다는 조건을 충족하지 못함</x:v>
      </x:c>
    </x:row>
    <x:row r="79">
      <x:c r="A79" s="25" t="str">
        <x:v>PASTRY</x:v>
      </x:c>
      <x:c r="B79" s="26" t="str">
        <x:v>COOKIES</x:v>
      </x:c>
      <x:c r="C79" s="26" t="n">
        <x:v>49</x:v>
      </x:c>
      <x:c r="D79" s="26" t="n">
        <x:v>495</x:v>
      </x:c>
      <x:c r="E79" s="26" t="n">
        <x:v>1143</x:v>
      </x:c>
      <x:c r="F79" s="26" t="n">
        <x:v>-0.004766182008908112</x:v>
      </x:c>
      <x:c r="G79" s="26" t="n">
        <x:v>-0.015607913845620543</x:v>
      </x:c>
      <x:c r="H79" s="26" t="n">
        <x:v>0.00607554982780432</x:v>
      </x:c>
      <x:c r="I79" s="26" t="n">
        <x:v>0.805558364915835</x:v>
      </x:c>
      <x:c r="J79" s="26" t="n">
        <x:v>-0.020893226030612246</x:v>
      </x:c>
      <x:c r="K79" s="26" t="n">
        <x:v>-0.05803483247258029</x:v>
      </x:c>
      <x:c r="L79" s="26" t="n">
        <x:v>0.0162483804113558</x:v>
      </x:c>
      <x:c r="M79" s="26" t="n">
        <x:v>0.8648901151599224</x:v>
      </x:c>
      <x:c r="N79" s="26" t="n">
        <x:v>0.14285714285714285</x:v>
      </x:c>
      <x:c r="O79" s="26" t="n">
        <x:v>0.14285714285714285</x:v>
      </x:c>
      <x:c r="P79" s="26" t="n">
        <x:v>32</x:v>
      </x:c>
      <x:c r="Q79" s="26" t="n">
        <x:v>700</x:v>
      </x:c>
      <x:c r="R79" s="26" t="n">
        <x:v>1879</x:v>
      </x:c>
      <x:c r="S79" s="26" t="n">
        <x:v>0.009243189357379776</x:v>
      </x:c>
      <x:c r="T79" s="26" t="n">
        <x:v>-0.00008141006956151851</x:v>
      </x:c>
      <x:c r="U79" s="26" t="n">
        <x:v>0.018567788784321068</x:v>
      </x:c>
      <x:c r="V79" s="26" t="n">
        <x:v>0.026014853786323767</x:v>
      </x:c>
      <x:c r="W79" s="26" t="n">
        <x:v>0.023074505937500003</x:v>
      </x:c>
      <x:c r="X79" s="26" t="n">
        <x:v>-0.005606221666268615</x:v>
      </x:c>
      <x:c r="Y79" s="26" t="n">
        <x:v>0.051755233541268625</x:v>
      </x:c>
      <x:c r="Z79" s="26" t="n">
        <x:v>0.057411706481913016</x:v>
      </x:c>
      <x:c r="AA79" s="26" t="n">
        <x:v>0.21875</x:v>
      </x:c>
      <x:c r="AB79" s="26" t="n">
        <x:v>0.21875</x:v>
      </x:c>
      <x:c r="AC79" s="39" t="b">
        <x:v>1</x:v>
      </x:c>
      <x:c r="AD79" s="39" t="b">
        <x:v>0</x:v>
      </x:c>
      <x:c r="AE79" s="39" t="b">
        <x:v>0</x:v>
      </x:c>
      <x:c r="AF79" s="26" t="n">
        <x:v>-0.004766182008908112</x:v>
      </x:c>
      <x:c r="AG79" s="26" t="n">
        <x:v>-0.020893226030612246</x:v>
      </x:c>
      <x:c r="AH79" s="26" t="n">
        <x:v>1143</x:v>
      </x:c>
      <x:c r="AI79" s="26"/>
      <x:c r="AJ79" s="26" t="str">
        <x:v>결합 근거 부족</x:v>
      </x:c>
      <x:c r="AK79" s="27" t="str">
        <x:v>판매발생률·매출이 두 단독 방식보다 모두 높다는 조건을 충족하지 못함</x:v>
      </x:c>
    </x:row>
    <x:row r="80">
      <x:c r="A80" s="25" t="str">
        <x:v>GROCERY</x:v>
      </x:c>
      <x:c r="B80" s="26" t="str">
        <x:v>DOG FOODS</x:v>
      </x:c>
      <x:c r="C80" s="26" t="n">
        <x:v>151</x:v>
      </x:c>
      <x:c r="D80" s="26" t="n">
        <x:v>2714</x:v>
      </x:c>
      <x:c r="E80" s="26" t="n">
        <x:v>5566</x:v>
      </x:c>
      <x:c r="F80" s="26" t="n">
        <x:v>-0.0005050178275282643</x:v>
      </x:c>
      <x:c r="G80" s="26" t="n">
        <x:v>-0.0025777826604447608</x:v>
      </x:c>
      <x:c r="H80" s="26" t="n">
        <x:v>0.0015677470053882324</x:v>
      </x:c>
      <x:c r="I80" s="26" t="n">
        <x:v>0.6835123495825867</x:v>
      </x:c>
      <x:c r="J80" s="26" t="n">
        <x:v>-0.010333106973509932</x:v>
      </x:c>
      <x:c r="K80" s="26" t="n">
        <x:v>-0.05263356038698482</x:v>
      </x:c>
      <x:c r="L80" s="26" t="n">
        <x:v>0.031967346439964954</x:v>
      </x:c>
      <x:c r="M80" s="26" t="n">
        <x:v>0.6839547697159805</x:v>
      </x:c>
      <x:c r="N80" s="26" t="n">
        <x:v>0.046357615894039736</x:v>
      </x:c>
      <x:c r="O80" s="26" t="n">
        <x:v>0.046357615894039736</x:v>
      </x:c>
      <x:c r="P80" s="26" t="n">
        <x:v>77</x:v>
      </x:c>
      <x:c r="Q80" s="26" t="n">
        <x:v>764</x:v>
      </x:c>
      <x:c r="R80" s="26" t="n">
        <x:v>868</x:v>
      </x:c>
      <x:c r="S80" s="26" t="n">
        <x:v>-0.010373757787550892</x:v>
      </x:c>
      <x:c r="T80" s="26" t="n">
        <x:v>-0.036400070748507964</x:v>
      </x:c>
      <x:c r="U80" s="26" t="n">
        <x:v>0.015652555173406177</x:v>
      </x:c>
      <x:c r="V80" s="26" t="n">
        <x:v>0.7826667091502554</x:v>
      </x:c>
      <x:c r="W80" s="26" t="n">
        <x:v>-0.021592587272727275</x:v>
      </x:c>
      <x:c r="X80" s="26" t="n">
        <x:v>-0.09940055304306036</x:v>
      </x:c>
      <x:c r="Y80" s="26" t="n">
        <x:v>0.05621537849760581</x:v>
      </x:c>
      <x:c r="Z80" s="26" t="n">
        <x:v>0.706752455064551</x:v>
      </x:c>
      <x:c r="AA80" s="26" t="n">
        <x:v>0.07792207792207792</x:v>
      </x:c>
      <x:c r="AB80" s="26" t="n">
        <x:v>0.07792207792207792</x:v>
      </x:c>
      <x:c r="AC80" s="39" t="b">
        <x:v>1</x:v>
      </x:c>
      <x:c r="AD80" s="39" t="b">
        <x:v>0</x:v>
      </x:c>
      <x:c r="AE80" s="39" t="b">
        <x:v>0</x:v>
      </x:c>
      <x:c r="AF80" s="26" t="n">
        <x:v>-0.010373757787550892</x:v>
      </x:c>
      <x:c r="AG80" s="26" t="n">
        <x:v>-0.021592587272727275</x:v>
      </x:c>
      <x:c r="AH80" s="26" t="n">
        <x:v>868</x:v>
      </x:c>
      <x:c r="AI80" s="26"/>
      <x:c r="AJ80" s="26" t="str">
        <x:v>결합 근거 부족</x:v>
      </x:c>
      <x:c r="AK80" s="27" t="str">
        <x:v>판매발생률·매출이 두 단독 방식보다 모두 높다는 조건을 충족하지 못함</x:v>
      </x:c>
    </x:row>
    <x:row r="81">
      <x:c r="A81" s="25" t="str">
        <x:v>GROCERY</x:v>
      </x:c>
      <x:c r="B81" s="26" t="str">
        <x:v>BEERS/ALES</x:v>
      </x:c>
      <x:c r="C81" s="26" t="n">
        <x:v>137</x:v>
      </x:c>
      <x:c r="D81" s="26" t="n">
        <x:v>5202</x:v>
      </x:c>
      <x:c r="E81" s="26" t="n">
        <x:v>20468</x:v>
      </x:c>
      <x:c r="F81" s="26" t="n">
        <x:v>-0.0011602698587785613</x:v>
      </x:c>
      <x:c r="G81" s="26" t="n">
        <x:v>-0.0061675698318879885</x:v>
      </x:c>
      <x:c r="H81" s="26" t="n">
        <x:v>0.0038470301143308655</x:v>
      </x:c>
      <x:c r="I81" s="26" t="n">
        <x:v>0.6751441396481317</x:v>
      </x:c>
      <x:c r="J81" s="26" t="n">
        <x:v>-0.007915149885401462</x:v>
      </x:c>
      <x:c r="K81" s="26" t="n">
        <x:v>-0.05899660933785846</x:v>
      </x:c>
      <x:c r="L81" s="26" t="n">
        <x:v>0.043166309567055534</x:v>
      </x:c>
      <x:c r="M81" s="26" t="n">
        <x:v>0.6193236693373307</x:v>
      </x:c>
      <x:c r="N81" s="26" t="n">
        <x:v>0.15328467153284672</x:v>
      </x:c>
      <x:c r="O81" s="26" t="n">
        <x:v>0.15328467153284672</x:v>
      </x:c>
      <x:c r="P81" s="26" t="n">
        <x:v>58</x:v>
      </x:c>
      <x:c r="Q81" s="26" t="n">
        <x:v>2187</x:v>
      </x:c>
      <x:c r="R81" s="26" t="n">
        <x:v>5589</x:v>
      </x:c>
      <x:c r="S81" s="26" t="n">
        <x:v>-0.002169729675072173</x:v>
      </x:c>
      <x:c r="T81" s="26" t="n">
        <x:v>-0.006730352774963022</x:v>
      </x:c>
      <x:c r="U81" s="26" t="n">
        <x:v>0.0023908934248186757</x:v>
      </x:c>
      <x:c r="V81" s="26" t="n">
        <x:v>0.8244546273411619</x:v>
      </x:c>
      <x:c r="W81" s="26" t="n">
        <x:v>-0.022430265086206894</x:v>
      </x:c>
      <x:c r="X81" s="26" t="n">
        <x:v>-0.07128295820437044</x:v>
      </x:c>
      <x:c r="Y81" s="26" t="n">
        <x:v>0.026422428031956664</x:v>
      </x:c>
      <x:c r="Z81" s="26" t="n">
        <x:v>0.8159175193183335</x:v>
      </x:c>
      <x:c r="AA81" s="26" t="n">
        <x:v>0.15517241379310345</x:v>
      </x:c>
      <x:c r="AB81" s="26" t="n">
        <x:v>0.15517241379310345</x:v>
      </x:c>
      <x:c r="AC81" s="39" t="b">
        <x:v>1</x:v>
      </x:c>
      <x:c r="AD81" s="39" t="b">
        <x:v>0</x:v>
      </x:c>
      <x:c r="AE81" s="39" t="b">
        <x:v>0</x:v>
      </x:c>
      <x:c r="AF81" s="26" t="n">
        <x:v>-0.002169729675072173</x:v>
      </x:c>
      <x:c r="AG81" s="26" t="n">
        <x:v>-0.022430265086206894</x:v>
      </x:c>
      <x:c r="AH81" s="26" t="n">
        <x:v>5589</x:v>
      </x:c>
      <x:c r="AI81" s="26"/>
      <x:c r="AJ81" s="26" t="str">
        <x:v>결합 근거 부족</x:v>
      </x:c>
      <x:c r="AK81" s="27" t="str">
        <x:v>판매발생률·매출이 두 단독 방식보다 모두 높다는 조건을 충족하지 못함</x:v>
      </x:c>
    </x:row>
    <x:row r="82">
      <x:c r="A82" s="25" t="str">
        <x:v>PRODUCE</x:v>
      </x:c>
      <x:c r="B82" s="26" t="str">
        <x:v>BROCCOLI/CAULIFLOWER</x:v>
      </x:c>
      <x:c r="C82" s="26" t="n">
        <x:v>16</x:v>
      </x:c>
      <x:c r="D82" s="26" t="n">
        <x:v>103</x:v>
      </x:c>
      <x:c r="E82" s="26" t="n">
        <x:v>282</x:v>
      </x:c>
      <x:c r="F82" s="26" t="n">
        <x:v>-0.004629629629629631</x:v>
      </x:c>
      <x:c r="G82" s="26" t="n">
        <x:v>-0.023003229256194677</x:v>
      </x:c>
      <x:c r="H82" s="26" t="n">
        <x:v>0.013743969996935416</x:v>
      </x:c>
      <x:c r="I82" s="26" t="n">
        <x:v>0.6892991666866546</x:v>
      </x:c>
      <x:c r="J82" s="26" t="n">
        <x:v>-0.02257895165625</x:v>
      </x:c>
      <x:c r="K82" s="26" t="n">
        <x:v>-0.06297218081963854</x:v>
      </x:c>
      <x:c r="L82" s="26" t="n">
        <x:v>0.01781427750713855</x:v>
      </x:c>
      <x:c r="M82" s="26" t="n">
        <x:v>0.8633726538791624</x:v>
      </x:c>
      <x:c r="N82" s="26" t="n">
        <x:v>0.0625</x:v>
      </x:c>
      <x:c r="O82" s="26" t="n">
        <x:v>0</x:v>
      </x:c>
      <x:c r="P82" s="26" t="n">
        <x:v>7</x:v>
      </x:c>
      <x:c r="Q82" s="26" t="n">
        <x:v>65</x:v>
      </x:c>
      <x:c r="R82" s="26" t="n">
        <x:v>141</x:v>
      </x:c>
      <x:c r="S82" s="26" t="n">
        <x:v>-0.005009276437847871</x:v>
      </x:c>
      <x:c r="T82" s="26" t="n">
        <x:v>-0.02891635090057522</x:v>
      </x:c>
      <x:c r="U82" s="26" t="n">
        <x:v>0.01889779802487948</x:v>
      </x:c>
      <x:c r="V82" s="26" t="n">
        <x:v>0.6593467784074917</x:v>
      </x:c>
      <x:c r="W82" s="26" t="n">
        <x:v>-0.018823128285714284</x:v>
      </x:c>
      <x:c r="X82" s="26" t="n">
        <x:v>-0.04828318436318074</x:v>
      </x:c>
      <x:c r="Y82" s="26" t="n">
        <x:v>0.010636927791752175</x:v>
      </x:c>
      <x:c r="Z82" s="26" t="n">
        <x:v>0.8947728264287174</x:v>
      </x:c>
      <x:c r="AA82" s="26" t="n">
        <x:v>0.14285714285714285</x:v>
      </x:c>
      <x:c r="AB82" s="26" t="n">
        <x:v>0</x:v>
      </x:c>
      <x:c r="AC82" s="39" t="b">
        <x:v>1</x:v>
      </x:c>
      <x:c r="AD82" s="39" t="b">
        <x:v>0</x:v>
      </x:c>
      <x:c r="AE82" s="39" t="b">
        <x:v>0</x:v>
      </x:c>
      <x:c r="AF82" s="26" t="n">
        <x:v>-0.005009276437847871</x:v>
      </x:c>
      <x:c r="AG82" s="26" t="n">
        <x:v>-0.02257895165625</x:v>
      </x:c>
      <x:c r="AH82" s="26" t="n">
        <x:v>141</x:v>
      </x:c>
      <x:c r="AI82" s="26"/>
      <x:c r="AJ82" s="26" t="str">
        <x:v>결합 근거 부족</x:v>
      </x:c>
      <x:c r="AK82" s="27" t="str">
        <x:v>판매발생률·매출이 두 단독 방식보다 모두 높다는 조건을 충족하지 못함</x:v>
      </x:c>
    </x:row>
    <x:row r="83">
      <x:c r="A83" s="25" t="str">
        <x:v>NUTRITION</x:v>
      </x:c>
      <x:c r="B83" s="26" t="str">
        <x:v>RICE CAKES</x:v>
      </x:c>
      <x:c r="C83" s="26" t="n">
        <x:v>11</x:v>
      </x:c>
      <x:c r="D83" s="26" t="n">
        <x:v>181</x:v>
      </x:c>
      <x:c r="E83" s="26" t="n">
        <x:v>266</x:v>
      </x:c>
      <x:c r="F83" s="26" t="n">
        <x:v>0.0076478363533699556</x:v>
      </x:c>
      <x:c r="G83" s="26" t="n">
        <x:v>-0.0322609935146101</x:v>
      </x:c>
      <x:c r="H83" s="26" t="n">
        <x:v>0.04755666622135001</x:v>
      </x:c>
      <x:c r="I83" s="26" t="n">
        <x:v>0.3536071197259561</x:v>
      </x:c>
      <x:c r="J83" s="26" t="n">
        <x:v>-0.024655005663636365</x:v>
      </x:c>
      <x:c r="K83" s="26" t="n">
        <x:v>-0.11717706802459615</x:v>
      </x:c>
      <x:c r="L83" s="26" t="n">
        <x:v>0.06786705669732343</x:v>
      </x:c>
      <x:c r="M83" s="26" t="n">
        <x:v>0.6992675270544507</x:v>
      </x:c>
      <x:c r="N83" s="26" t="n">
        <x:v>0.18181818181818182</x:v>
      </x:c>
      <x:c r="O83" s="26" t="n">
        <x:v>0.18181818181818182</x:v>
      </x:c>
      <x:c r="P83" s="26" t="n">
        <x:v>11</x:v>
      </x:c>
      <x:c r="Q83" s="26" t="n">
        <x:v>87</x:v>
      </x:c>
      <x:c r="R83" s="26" t="n">
        <x:v>87</x:v>
      </x:c>
      <x:c r="S83" s="26" t="n">
        <x:v>0.03023415977961432</x:v>
      </x:c>
      <x:c r="T83" s="26" t="n">
        <x:v>-0.0407089039857226</x:v>
      </x:c>
      <x:c r="U83" s="26" t="n">
        <x:v>0.10117722354495123</x:v>
      </x:c>
      <x:c r="V83" s="26" t="n">
        <x:v>0.2017735676284068</x:v>
      </x:c>
      <x:c r="W83" s="26" t="n">
        <x:v>0.0444903590909091</x:v>
      </x:c>
      <x:c r="X83" s="26" t="n">
        <x:v>-0.06231445932337768</x:v>
      </x:c>
      <x:c r="Y83" s="26" t="n">
        <x:v>0.1512951775051959</x:v>
      </x:c>
      <x:c r="Z83" s="26" t="n">
        <x:v>0.2071205754990569</x:v>
      </x:c>
      <x:c r="AA83" s="26" t="n">
        <x:v>0.36363636363636365</x:v>
      </x:c>
      <x:c r="AB83" s="26" t="n">
        <x:v>0.36363636363636365</x:v>
      </x:c>
      <x:c r="AC83" s="39" t="b">
        <x:v>1</x:v>
      </x:c>
      <x:c r="AD83" s="39" t="b">
        <x:v>0</x:v>
      </x:c>
      <x:c r="AE83" s="39" t="b">
        <x:v>0</x:v>
      </x:c>
      <x:c r="AF83" s="26" t="n">
        <x:v>0.0076478363533699556</x:v>
      </x:c>
      <x:c r="AG83" s="26" t="n">
        <x:v>-0.024655005663636365</x:v>
      </x:c>
      <x:c r="AH83" s="26" t="n">
        <x:v>87</x:v>
      </x:c>
      <x:c r="AI83" s="26"/>
      <x:c r="AJ83" s="26" t="str">
        <x:v>결합 근거 부족</x:v>
      </x:c>
      <x:c r="AK83" s="27" t="str">
        <x:v>판매발생률·매출이 두 단독 방식보다 모두 높다는 조건을 충족하지 못함</x:v>
      </x:c>
    </x:row>
    <x:row r="84">
      <x:c r="A84" s="25" t="str">
        <x:v>FLORAL</x:v>
      </x:c>
      <x:c r="B84" s="26" t="str">
        <x:v>FLORAL-FLOWERING PLANTS</x:v>
      </x:c>
      <x:c r="C84" s="26" t="n">
        <x:v>14</x:v>
      </x:c>
      <x:c r="D84" s="26" t="n">
        <x:v>44</x:v>
      </x:c>
      <x:c r="E84" s="26" t="n">
        <x:v>63</x:v>
      </x:c>
      <x:c r="F84" s="26" t="n">
        <x:v>0.03843537414965986</x:v>
      </x:c>
      <x:c r="G84" s="26" t="n">
        <x:v>-0.032073642064731955</x:v>
      </x:c>
      <x:c r="H84" s="26" t="n">
        <x:v>0.10894439036405168</x:v>
      </x:c>
      <x:c r="I84" s="26" t="n">
        <x:v>0.14266526116591854</x:v>
      </x:c>
      <x:c r="J84" s="26" t="n">
        <x:v>0.33022789</x:v>
      </x:c>
      <x:c r="K84" s="26" t="n">
        <x:v>-0.3022400418985997</x:v>
      </x:c>
      <x:c r="L84" s="26" t="n">
        <x:v>0.9626958218985997</x:v>
      </x:c>
      <x:c r="M84" s="26" t="n">
        <x:v>0.15306723248147244</x:v>
      </x:c>
      <x:c r="N84" s="26" t="n">
        <x:v>0.14285714285714285</x:v>
      </x:c>
      <x:c r="O84" s="26" t="n">
        <x:v>0.14285714285714285</x:v>
      </x:c>
      <x:c r="P84" s="26" t="n">
        <x:v>11</x:v>
      </x:c>
      <x:c r="Q84" s="26" t="n">
        <x:v>80</x:v>
      </x:c>
      <x:c r="R84" s="26" t="n">
        <x:v>82</x:v>
      </x:c>
      <x:c r="S84" s="26" t="n">
        <x:v>-0.004545454545454546</x:v>
      </x:c>
      <x:c r="T84" s="26" t="n">
        <x:v>-0.013454545454545455</x:v>
      </x:c>
      <x:c r="U84" s="26" t="n">
        <x:v>0.004363636363636362</x:v>
      </x:c>
      <x:c r="V84" s="26" t="n">
        <x:v>0.841344746068543</x:v>
      </x:c>
      <x:c r="W84" s="26" t="n">
        <x:v>-0.027227272727272725</x:v>
      </x:c>
      <x:c r="X84" s="26" t="n">
        <x:v>-0.08059272727272727</x:v>
      </x:c>
      <x:c r="Y84" s="26" t="n">
        <x:v>0.026138181818181824</x:v>
      </x:c>
      <x:c r="Z84" s="26" t="n">
        <x:v>0.8413447460685428</x:v>
      </x:c>
      <x:c r="AA84" s="26" t="n">
        <x:v>0</x:v>
      </x:c>
      <x:c r="AB84" s="26" t="n">
        <x:v>0</x:v>
      </x:c>
      <x:c r="AC84" s="39" t="b">
        <x:v>1</x:v>
      </x:c>
      <x:c r="AD84" s="39" t="b">
        <x:v>0</x:v>
      </x:c>
      <x:c r="AE84" s="39" t="b">
        <x:v>0</x:v>
      </x:c>
      <x:c r="AF84" s="26" t="n">
        <x:v>-0.004545454545454546</x:v>
      </x:c>
      <x:c r="AG84" s="26" t="n">
        <x:v>-0.027227272727272725</x:v>
      </x:c>
      <x:c r="AH84" s="26" t="n">
        <x:v>63</x:v>
      </x:c>
      <x:c r="AI84" s="26"/>
      <x:c r="AJ84" s="26" t="str">
        <x:v>결합 근거 부족</x:v>
      </x:c>
      <x:c r="AK84" s="27" t="str">
        <x:v>판매발생률·매출이 두 단독 방식보다 모두 높다는 조건을 충족하지 못함</x:v>
      </x:c>
    </x:row>
    <x:row r="85">
      <x:c r="A85" s="25" t="str">
        <x:v>SEAFOOD-PCKGD</x:v>
      </x:c>
      <x:c r="B85" s="26" t="str">
        <x:v>SEAFOOD-FRESH</x:v>
      </x:c>
      <x:c r="C85" s="26" t="n">
        <x:v>23</x:v>
      </x:c>
      <x:c r="D85" s="26" t="n">
        <x:v>87</x:v>
      </x:c>
      <x:c r="E85" s="26" t="n">
        <x:v>215</x:v>
      </x:c>
      <x:c r="F85" s="26" t="n">
        <x:v>-0.010754281949934122</x:v>
      </x:c>
      <x:c r="G85" s="26" t="n">
        <x:v>-0.02193844736855311</x:v>
      </x:c>
      <x:c r="H85" s="26" t="n">
        <x:v>0.0004298834686848694</x:v>
      </x:c>
      <x:c r="I85" s="26" t="n">
        <x:v>0.9702623842414463</x:v>
      </x:c>
      <x:c r="J85" s="26" t="n">
        <x:v>-0.028678360347826087</x:v>
      </x:c>
      <x:c r="K85" s="26" t="n">
        <x:v>-0.06008187349589241</x:v>
      </x:c>
      <x:c r="L85" s="26" t="n">
        <x:v>0.0027251528002402367</x:v>
      </x:c>
      <x:c r="M85" s="26" t="n">
        <x:v>0.9632661271088392</x:v>
      </x:c>
      <x:c r="N85" s="26" t="n">
        <x:v>0.043478260869565216</x:v>
      </x:c>
      <x:c r="O85" s="26" t="n">
        <x:v>0.043478260869565216</x:v>
      </x:c>
      <x:c r="P85" s="26" t="n">
        <x:v>18</x:v>
      </x:c>
      <x:c r="Q85" s="26" t="n">
        <x:v>103</x:v>
      </x:c>
      <x:c r="R85" s="26" t="n">
        <x:v>137</x:v>
      </x:c>
      <x:c r="S85" s="26" t="n">
        <x:v>0.017901234567901228</x:v>
      </x:c>
      <x:c r="T85" s="26" t="n">
        <x:v>-0.0030893389400487928</x:v>
      </x:c>
      <x:c r="U85" s="26" t="n">
        <x:v>0.03889180807585125</x:v>
      </x:c>
      <x:c r="V85" s="26" t="n">
        <x:v>0.04730830089271313</x:v>
      </x:c>
      <x:c r="W85" s="26" t="n">
        <x:v>0.10041357999999999</x:v>
      </x:c>
      <x:c r="X85" s="26" t="n">
        <x:v>-0.037470705312915256</x:v>
      </x:c>
      <x:c r="Y85" s="26" t="n">
        <x:v>0.23829786531291525</x:v>
      </x:c>
      <x:c r="Z85" s="26" t="n">
        <x:v>0.07673796919740877</x:v>
      </x:c>
      <x:c r="AA85" s="26" t="n">
        <x:v>0.16666666666666666</x:v>
      </x:c>
      <x:c r="AB85" s="26" t="n">
        <x:v>0.16666666666666666</x:v>
      </x:c>
      <x:c r="AC85" s="39" t="b">
        <x:v>1</x:v>
      </x:c>
      <x:c r="AD85" s="39" t="b">
        <x:v>0</x:v>
      </x:c>
      <x:c r="AE85" s="39" t="b">
        <x:v>0</x:v>
      </x:c>
      <x:c r="AF85" s="26" t="n">
        <x:v>-0.010754281949934122</x:v>
      </x:c>
      <x:c r="AG85" s="26" t="n">
        <x:v>-0.028678360347826087</x:v>
      </x:c>
      <x:c r="AH85" s="26" t="n">
        <x:v>137</x:v>
      </x:c>
      <x:c r="AI85" s="26"/>
      <x:c r="AJ85" s="26" t="str">
        <x:v>결합 근거 부족</x:v>
      </x:c>
      <x:c r="AK85" s="27" t="str">
        <x:v>판매발생률·매출이 두 단독 방식보다 모두 높다는 조건을 충족하지 못함</x:v>
      </x:c>
    </x:row>
    <x:row r="86">
      <x:c r="A86" s="25" t="str">
        <x:v>GROCERY</x:v>
      </x:c>
      <x:c r="B86" s="26" t="str">
        <x:v>PICKLE/RELISH/PKLD VEG</x:v>
      </x:c>
      <x:c r="C86" s="26" t="n">
        <x:v>36</x:v>
      </x:c>
      <x:c r="D86" s="26" t="n">
        <x:v>348</x:v>
      </x:c>
      <x:c r="E86" s="26" t="n">
        <x:v>387</x:v>
      </x:c>
      <x:c r="F86" s="26" t="n">
        <x:v>-0.004133931911709689</x:v>
      </x:c>
      <x:c r="G86" s="26" t="n">
        <x:v>-0.009831163146599816</x:v>
      </x:c>
      <x:c r="H86" s="26" t="n">
        <x:v>0.001563299323180438</x:v>
      </x:c>
      <x:c r="I86" s="26" t="n">
        <x:v>0.9225134626863793</x:v>
      </x:c>
      <x:c r="J86" s="26" t="n">
        <x:v>-0.009992517888888889</x:v>
      </x:c>
      <x:c r="K86" s="26" t="n">
        <x:v>-0.02349983609129977</x:v>
      </x:c>
      <x:c r="L86" s="26" t="n">
        <x:v>0.0035148003135219933</x:v>
      </x:c>
      <x:c r="M86" s="26" t="n">
        <x:v>0.9264678878924031</x:v>
      </x:c>
      <x:c r="N86" s="26" t="n">
        <x:v>0</x:v>
      </x:c>
      <x:c r="O86" s="26" t="n">
        <x:v>0</x:v>
      </x:c>
      <x:c r="P86" s="26" t="n">
        <x:v>47</x:v>
      </x:c>
      <x:c r="Q86" s="26" t="n">
        <x:v>193</x:v>
      </x:c>
      <x:c r="R86" s="26" t="n">
        <x:v>207</x:v>
      </x:c>
      <x:c r="S86" s="26" t="n">
        <x:v>-0.010385005065856129</x:v>
      </x:c>
      <x:c r="T86" s="26" t="n">
        <x:v>-0.033950484757613156</x:v>
      </x:c>
      <x:c r="U86" s="26" t="n">
        <x:v>0.013180474625900902</x:v>
      </x:c>
      <x:c r="V86" s="26" t="n">
        <x:v>0.8061365270733623</x:v>
      </x:c>
      <x:c r="W86" s="26" t="n">
        <x:v>-0.02924518680851064</x:v>
      </x:c>
      <x:c r="X86" s="26" t="n">
        <x:v>-0.07846521859056058</x:v>
      </x:c>
      <x:c r="Y86" s="26" t="n">
        <x:v>0.01997484497353929</x:v>
      </x:c>
      <x:c r="Z86" s="26" t="n">
        <x:v>0.8779050732308261</x:v>
      </x:c>
      <x:c r="AA86" s="26" t="n">
        <x:v>0.02127659574468085</x:v>
      </x:c>
      <x:c r="AB86" s="26" t="n">
        <x:v>0.02127659574468085</x:v>
      </x:c>
      <x:c r="AC86" s="39" t="b">
        <x:v>1</x:v>
      </x:c>
      <x:c r="AD86" s="39" t="b">
        <x:v>0</x:v>
      </x:c>
      <x:c r="AE86" s="39" t="b">
        <x:v>0</x:v>
      </x:c>
      <x:c r="AF86" s="26" t="n">
        <x:v>-0.010385005065856129</x:v>
      </x:c>
      <x:c r="AG86" s="26" t="n">
        <x:v>-0.02924518680851064</x:v>
      </x:c>
      <x:c r="AH86" s="26" t="n">
        <x:v>207</x:v>
      </x:c>
      <x:c r="AI86" s="26"/>
      <x:c r="AJ86" s="26" t="str">
        <x:v>결합 근거 부족</x:v>
      </x:c>
      <x:c r="AK86" s="27" t="str">
        <x:v>판매발생률·매출이 두 단독 방식보다 모두 높다는 조건을 충족하지 못함</x:v>
      </x:c>
    </x:row>
    <x:row r="87">
      <x:c r="A87" s="25" t="str">
        <x:v>DRUG GM</x:v>
      </x:c>
      <x:c r="B87" s="26" t="str">
        <x:v>CHARCOAL AND LIGHTER FLUID</x:v>
      </x:c>
      <x:c r="C87" s="26" t="n">
        <x:v>25</x:v>
      </x:c>
      <x:c r="D87" s="26" t="n">
        <x:v>982</x:v>
      </x:c>
      <x:c r="E87" s="26" t="n">
        <x:v>2427</x:v>
      </x:c>
      <x:c r="F87" s="26" t="n">
        <x:v>-0.0031811831958890803</x:v>
      </x:c>
      <x:c r="G87" s="26" t="n">
        <x:v>-0.01928958940743041</x:v>
      </x:c>
      <x:c r="H87" s="26" t="n">
        <x:v>0.012927223015652252</x:v>
      </x:c>
      <x:c r="I87" s="26" t="n">
        <x:v>0.6506486862211944</x:v>
      </x:c>
      <x:c r="J87" s="26" t="n">
        <x:v>-0.0305877488</x:v>
      </x:c>
      <x:c r="K87" s="26" t="n">
        <x:v>-0.12750147036023224</x:v>
      </x:c>
      <x:c r="L87" s="26" t="n">
        <x:v>0.06632597276023225</x:v>
      </x:c>
      <x:c r="M87" s="26" t="n">
        <x:v>0.7319139908762113</x:v>
      </x:c>
      <x:c r="N87" s="26" t="n">
        <x:v>0.16</x:v>
      </x:c>
      <x:c r="O87" s="26" t="n">
        <x:v>0.16</x:v>
      </x:c>
      <x:c r="P87" s="26" t="n">
        <x:v>21</x:v>
      </x:c>
      <x:c r="Q87" s="26" t="n">
        <x:v>856</x:v>
      </x:c>
      <x:c r="R87" s="26" t="n">
        <x:v>1268</x:v>
      </x:c>
      <x:c r="S87" s="26" t="n">
        <x:v>0.002154339724116719</x:v>
      </x:c>
      <x:c r="T87" s="26" t="n">
        <x:v>-0.0065096693151273245</x:v>
      </x:c>
      <x:c r="U87" s="26" t="n">
        <x:v>0.010818348763360764</x:v>
      </x:c>
      <x:c r="V87" s="26" t="n">
        <x:v>0.31300102802248253</x:v>
      </x:c>
      <x:c r="W87" s="26" t="n">
        <x:v>0.01633211742857143</x:v>
      </x:c>
      <x:c r="X87" s="26" t="n">
        <x:v>-0.044028084615055384</x:v>
      </x:c>
      <x:c r="Y87" s="26" t="n">
        <x:v>0.07669231947219823</x:v>
      </x:c>
      <x:c r="Z87" s="26" t="n">
        <x:v>0.29794086179936263</x:v>
      </x:c>
      <x:c r="AA87" s="26" t="n">
        <x:v>0.14285714285714285</x:v>
      </x:c>
      <x:c r="AB87" s="26" t="n">
        <x:v>0.14285714285714285</x:v>
      </x:c>
      <x:c r="AC87" s="39" t="b">
        <x:v>1</x:v>
      </x:c>
      <x:c r="AD87" s="39" t="b">
        <x:v>0</x:v>
      </x:c>
      <x:c r="AE87" s="39" t="b">
        <x:v>0</x:v>
      </x:c>
      <x:c r="AF87" s="26" t="n">
        <x:v>-0.0031811831958890803</x:v>
      </x:c>
      <x:c r="AG87" s="26" t="n">
        <x:v>-0.0305877488</x:v>
      </x:c>
      <x:c r="AH87" s="26" t="n">
        <x:v>1268</x:v>
      </x:c>
      <x:c r="AI87" s="26"/>
      <x:c r="AJ87" s="26" t="str">
        <x:v>결합 근거 부족</x:v>
      </x:c>
      <x:c r="AK87" s="27" t="str">
        <x:v>판매발생률·매출이 두 단독 방식보다 모두 높다는 조건을 충족하지 못함</x:v>
      </x:c>
    </x:row>
    <x:row r="88">
      <x:c r="A88" s="25" t="str">
        <x:v>DELI</x:v>
      </x:c>
      <x:c r="B88" s="26" t="str">
        <x:v>SNACKS</x:v>
      </x:c>
      <x:c r="C88" s="26" t="n">
        <x:v>3</x:v>
      </x:c>
      <x:c r="D88" s="26" t="n">
        <x:v>43</x:v>
      </x:c>
      <x:c r="E88" s="26" t="n">
        <x:v>59</x:v>
      </x:c>
      <x:c r="F88" s="26" t="n">
        <x:v>-0.009259259259259233</x:v>
      </x:c>
      <x:c r="G88" s="26" t="n">
        <x:v>-0.027407407407407332</x:v>
      </x:c>
      <x:c r="H88" s="26" t="n">
        <x:v>0.008888888888888868</x:v>
      </x:c>
      <x:c r="I88" s="26" t="n">
        <x:v>0.8413447460685428</x:v>
      </x:c>
      <x:c r="J88" s="26" t="n">
        <x:v>-0.032407408</x:v>
      </x:c>
      <x:c r="K88" s="26" t="n">
        <x:v>-0.09592592768</x:v>
      </x:c>
      <x:c r="L88" s="26" t="n">
        <x:v>0.031111111679999998</x:v>
      </x:c>
      <x:c r="M88" s="26" t="n">
        <x:v>0.8413447460685429</x:v>
      </x:c>
      <x:c r="N88" s="26" t="n">
        <x:v>0</x:v>
      </x:c>
      <x:c r="O88" s="26" t="n">
        <x:v>0</x:v>
      </x:c>
      <x:c r="P88" s="26" t="n">
        <x:v>2</x:v>
      </x:c>
      <x:c r="Q88" s="26" t="n">
        <x:v>17</x:v>
      </x:c>
      <x:c r="R88" s="26" t="n">
        <x:v>17</x:v>
      </x:c>
      <x:c r="S88" s="26" t="n">
        <x:v>0</x:v>
      </x:c>
      <x:c r="T88" s="26" t="n">
        <x:v>0</x:v>
      </x:c>
      <x:c r="U88" s="26" t="n">
        <x:v>0</x:v>
      </x:c>
      <x:c r="V88" s="26" t="n">
        <x:v>0.5</x:v>
      </x:c>
      <x:c r="W88" s="26" t="n">
        <x:v>0</x:v>
      </x:c>
      <x:c r="X88" s="26" t="n">
        <x:v>0</x:v>
      </x:c>
      <x:c r="Y88" s="26" t="n">
        <x:v>0</x:v>
      </x:c>
      <x:c r="Z88" s="26" t="n">
        <x:v>0.5</x:v>
      </x:c>
      <x:c r="AA88" s="26" t="n">
        <x:v>0</x:v>
      </x:c>
      <x:c r="AB88" s="26" t="n">
        <x:v>0</x:v>
      </x:c>
      <x:c r="AC88" s="39" t="b">
        <x:v>1</x:v>
      </x:c>
      <x:c r="AD88" s="39" t="b">
        <x:v>0</x:v>
      </x:c>
      <x:c r="AE88" s="39" t="b">
        <x:v>0</x:v>
      </x:c>
      <x:c r="AF88" s="26" t="n">
        <x:v>-0.009259259259259233</x:v>
      </x:c>
      <x:c r="AG88" s="26" t="n">
        <x:v>-0.032407408</x:v>
      </x:c>
      <x:c r="AH88" s="26" t="n">
        <x:v>17</x:v>
      </x:c>
      <x:c r="AI88" s="26"/>
      <x:c r="AJ88" s="26" t="str">
        <x:v>결합 근거 부족</x:v>
      </x:c>
      <x:c r="AK88" s="27" t="str">
        <x:v>판매발생률·매출이 두 단독 방식보다 모두 높다는 조건을 충족하지 못함</x:v>
      </x:c>
    </x:row>
    <x:row r="89">
      <x:c r="A89" s="25" t="str">
        <x:v>NUTRITION</x:v>
      </x:c>
      <x:c r="B89" s="26" t="str">
        <x:v>JUICE</x:v>
      </x:c>
      <x:c r="C89" s="26" t="n">
        <x:v>37</x:v>
      </x:c>
      <x:c r="D89" s="26" t="n">
        <x:v>1209</x:v>
      </x:c>
      <x:c r="E89" s="26" t="n">
        <x:v>2973</x:v>
      </x:c>
      <x:c r="F89" s="26" t="n">
        <x:v>0.0045175269172147035</x:v>
      </x:c>
      <x:c r="G89" s="26" t="n">
        <x:v>-0.0011177650476757233</x:v>
      </x:c>
      <x:c r="H89" s="26" t="n">
        <x:v>0.01015281888210513</x:v>
      </x:c>
      <x:c r="I89" s="26" t="n">
        <x:v>0.05806434994608532</x:v>
      </x:c>
      <x:c r="J89" s="26" t="n">
        <x:v>0.003674109610810811</x:v>
      </x:c>
      <x:c r="K89" s="26" t="n">
        <x:v>-0.01137542062743168</x:v>
      </x:c>
      <x:c r="L89" s="26" t="n">
        <x:v>0.0187236398490533</x:v>
      </x:c>
      <x:c r="M89" s="26" t="n">
        <x:v>0.3161458959068248</x:v>
      </x:c>
      <x:c r="N89" s="26" t="n">
        <x:v>0.21621621621621623</x:v>
      </x:c>
      <x:c r="O89" s="26" t="n">
        <x:v>0.21621621621621623</x:v>
      </x:c>
      <x:c r="P89" s="26" t="n">
        <x:v>10</x:v>
      </x:c>
      <x:c r="Q89" s="26" t="n">
        <x:v>360</x:v>
      </x:c>
      <x:c r="R89" s="26" t="n">
        <x:v>405</x:v>
      </x:c>
      <x:c r="S89" s="26" t="n">
        <x:v>-0.00150967715084286</x:v>
      </x:c>
      <x:c r="T89" s="26" t="n">
        <x:v>-0.010620527792718987</x:v>
      </x:c>
      <x:c r="U89" s="26" t="n">
        <x:v>0.007601173491033267</x:v>
      </x:c>
      <x:c r="V89" s="26" t="n">
        <x:v>0.6273239302092442</x:v>
      </x:c>
      <x:c r="W89" s="26" t="n">
        <x:v>-0.034573539199999996</x:v>
      </x:c>
      <x:c r="X89" s="26" t="n">
        <x:v>-0.10189790720434763</x:v>
      </x:c>
      <x:c r="Y89" s="26" t="n">
        <x:v>0.03275082880434765</x:v>
      </x:c>
      <x:c r="Z89" s="26" t="n">
        <x:v>0.8429201584155793</x:v>
      </x:c>
      <x:c r="AA89" s="26" t="n">
        <x:v>0.2</x:v>
      </x:c>
      <x:c r="AB89" s="26" t="n">
        <x:v>0.2</x:v>
      </x:c>
      <x:c r="AC89" s="39" t="b">
        <x:v>1</x:v>
      </x:c>
      <x:c r="AD89" s="39" t="b">
        <x:v>0</x:v>
      </x:c>
      <x:c r="AE89" s="39" t="b">
        <x:v>0</x:v>
      </x:c>
      <x:c r="AF89" s="26" t="n">
        <x:v>-0.00150967715084286</x:v>
      </x:c>
      <x:c r="AG89" s="26" t="n">
        <x:v>-0.034573539199999996</x:v>
      </x:c>
      <x:c r="AH89" s="26" t="n">
        <x:v>405</x:v>
      </x:c>
      <x:c r="AI89" s="26"/>
      <x:c r="AJ89" s="26" t="str">
        <x:v>결합 근거 부족</x:v>
      </x:c>
      <x:c r="AK89" s="27" t="str">
        <x:v>판매발생률·매출이 두 단독 방식보다 모두 높다는 조건을 충족하지 못함</x:v>
      </x:c>
    </x:row>
    <x:row r="90">
      <x:c r="A90" s="25" t="str">
        <x:v>DRUG GM</x:v>
      </x:c>
      <x:c r="B90" s="26" t="str">
        <x:v>TOYS AND GAMES</x:v>
      </x:c>
      <x:c r="C90" s="26" t="n">
        <x:v>58</x:v>
      </x:c>
      <x:c r="D90" s="26" t="n">
        <x:v>539</x:v>
      </x:c>
      <x:c r="E90" s="26" t="n">
        <x:v>2322</x:v>
      </x:c>
      <x:c r="F90" s="26" t="n">
        <x:v>0.009524331830366314</x:v>
      </x:c>
      <x:c r="G90" s="26" t="n">
        <x:v>-0.0077245493102432</x:v>
      </x:c>
      <x:c r="H90" s="26" t="n">
        <x:v>0.02677321297097583</x:v>
      </x:c>
      <x:c r="I90" s="26" t="n">
        <x:v>0.1395695852035093</x:v>
      </x:c>
      <x:c r="J90" s="26" t="n">
        <x:v>0.026066830227172415</x:v>
      </x:c>
      <x:c r="K90" s="26" t="n">
        <x:v>-0.018329869248064432</x:v>
      </x:c>
      <x:c r="L90" s="26" t="n">
        <x:v>0.07046352970240927</x:v>
      </x:c>
      <x:c r="M90" s="26" t="n">
        <x:v>0.12491066636389339</x:v>
      </x:c>
      <x:c r="N90" s="26" t="n">
        <x:v>0.034482758620689655</x:v>
      </x:c>
      <x:c r="O90" s="26" t="n">
        <x:v>0.05172413793103448</x:v>
      </x:c>
      <x:c r="P90" s="26" t="n">
        <x:v>25</x:v>
      </x:c>
      <x:c r="Q90" s="26" t="n">
        <x:v>265</x:v>
      </x:c>
      <x:c r="R90" s="26" t="n">
        <x:v>516</x:v>
      </x:c>
      <x:c r="S90" s="26" t="n">
        <x:v>-0.015134418324291741</x:v>
      </x:c>
      <x:c r="T90" s="26" t="n">
        <x:v>-0.039239316659245974</x:v>
      </x:c>
      <x:c r="U90" s="26" t="n">
        <x:v>0.008970480010662493</x:v>
      </x:c>
      <x:c r="V90" s="26" t="n">
        <x:v>0.8907635302354334</x:v>
      </x:c>
      <x:c r="W90" s="26" t="n">
        <x:v>-0.0366020508</x:v>
      </x:c>
      <x:c r="X90" s="26" t="n">
        <x:v>-0.12339989902916146</x:v>
      </x:c>
      <x:c r="Y90" s="26" t="n">
        <x:v>0.05019579742916145</x:v>
      </x:c>
      <x:c r="Z90" s="26" t="n">
        <x:v>0.7957449606331627</x:v>
      </x:c>
      <x:c r="AA90" s="26" t="n">
        <x:v>0.04</x:v>
      </x:c>
      <x:c r="AB90" s="26" t="n">
        <x:v>0.04</x:v>
      </x:c>
      <x:c r="AC90" s="39" t="b">
        <x:v>1</x:v>
      </x:c>
      <x:c r="AD90" s="39" t="b">
        <x:v>0</x:v>
      </x:c>
      <x:c r="AE90" s="39" t="b">
        <x:v>0</x:v>
      </x:c>
      <x:c r="AF90" s="26" t="n">
        <x:v>-0.015134418324291741</x:v>
      </x:c>
      <x:c r="AG90" s="26" t="n">
        <x:v>-0.0366020508</x:v>
      </x:c>
      <x:c r="AH90" s="26" t="n">
        <x:v>516</x:v>
      </x:c>
      <x:c r="AI90" s="26"/>
      <x:c r="AJ90" s="26" t="str">
        <x:v>결합 근거 부족</x:v>
      </x:c>
      <x:c r="AK90" s="27" t="str">
        <x:v>판매발생률·매출이 두 단독 방식보다 모두 높다는 조건을 충족하지 못함</x:v>
      </x:c>
    </x:row>
    <x:row r="91">
      <x:c r="A91" s="25" t="str">
        <x:v>NUTRITION</x:v>
      </x:c>
      <x:c r="B91" s="26" t="str">
        <x:v>CONDIMENTS</x:v>
      </x:c>
      <x:c r="C91" s="26" t="n">
        <x:v>23</x:v>
      </x:c>
      <x:c r="D91" s="26" t="n">
        <x:v>249</x:v>
      </x:c>
      <x:c r="E91" s="26" t="n">
        <x:v>357</x:v>
      </x:c>
      <x:c r="F91" s="26" t="n">
        <x:v>0</x:v>
      </x:c>
      <x:c r="G91" s="26" t="n">
        <x:v>0</x:v>
      </x:c>
      <x:c r="H91" s="26" t="n">
        <x:v>0</x:v>
      </x:c>
      <x:c r="I91" s="26" t="n">
        <x:v>0.5</x:v>
      </x:c>
      <x:c r="J91" s="26" t="n">
        <x:v>0</x:v>
      </x:c>
      <x:c r="K91" s="26" t="n">
        <x:v>0</x:v>
      </x:c>
      <x:c r="L91" s="26" t="n">
        <x:v>0</x:v>
      </x:c>
      <x:c r="M91" s="26" t="n">
        <x:v>0.5</x:v>
      </x:c>
      <x:c r="N91" s="26" t="n">
        <x:v>0</x:v>
      </x:c>
      <x:c r="O91" s="26" t="n">
        <x:v>0</x:v>
      </x:c>
      <x:c r="P91" s="26" t="n">
        <x:v>14</x:v>
      </x:c>
      <x:c r="Q91" s="26" t="n">
        <x:v>88</x:v>
      </x:c>
      <x:c r="R91" s="26" t="n">
        <x:v>88</x:v>
      </x:c>
      <x:c r="S91" s="26" t="n">
        <x:v>-0.019132653061224487</x:v>
      </x:c>
      <x:c r="T91" s="26" t="n">
        <x:v>-0.04467485042468258</x:v>
      </x:c>
      <x:c r="U91" s="26" t="n">
        <x:v>0.006409544302233613</x:v>
      </x:c>
      <x:c r="V91" s="26" t="n">
        <x:v>0.928969443962628</x:v>
      </x:c>
      <x:c r="W91" s="26" t="n">
        <x:v>-0.03826530714285714</x:v>
      </x:c>
      <x:c r="X91" s="26" t="n">
        <x:v>-0.08934970333040307</x:v>
      </x:c>
      <x:c r="Y91" s="26" t="n">
        <x:v>0.012819089044688786</x:v>
      </x:c>
      <x:c r="Z91" s="26" t="n">
        <x:v>0.9289694435787091</x:v>
      </x:c>
      <x:c r="AA91" s="26" t="n">
        <x:v>0</x:v>
      </x:c>
      <x:c r="AB91" s="26" t="n">
        <x:v>0</x:v>
      </x:c>
      <x:c r="AC91" s="39" t="b">
        <x:v>1</x:v>
      </x:c>
      <x:c r="AD91" s="39" t="b">
        <x:v>0</x:v>
      </x:c>
      <x:c r="AE91" s="39" t="b">
        <x:v>0</x:v>
      </x:c>
      <x:c r="AF91" s="26" t="n">
        <x:v>-0.019132653061224487</x:v>
      </x:c>
      <x:c r="AG91" s="26" t="n">
        <x:v>-0.03826530714285714</x:v>
      </x:c>
      <x:c r="AH91" s="26" t="n">
        <x:v>88</x:v>
      </x:c>
      <x:c r="AI91" s="26"/>
      <x:c r="AJ91" s="26" t="str">
        <x:v>결합 근거 부족</x:v>
      </x:c>
      <x:c r="AK91" s="27" t="str">
        <x:v>판매발생률·매출이 두 단독 방식보다 모두 높다는 조건을 충족하지 못함</x:v>
      </x:c>
    </x:row>
    <x:row r="92">
      <x:c r="A92" s="25" t="str">
        <x:v>DRUG GM</x:v>
      </x:c>
      <x:c r="B92" s="26" t="str">
        <x:v>FIREWORKS</x:v>
      </x:c>
      <x:c r="C92" s="26" t="n">
        <x:v>18</x:v>
      </x:c>
      <x:c r="D92" s="26" t="n">
        <x:v>196</x:v>
      </x:c>
      <x:c r="E92" s="26" t="n">
        <x:v>310</x:v>
      </x:c>
      <x:c r="F92" s="26" t="n">
        <x:v>0.0105324074074074</x:v>
      </x:c>
      <x:c r="G92" s="26" t="n">
        <x:v>0.0012981158387469095</x:v>
      </x:c>
      <x:c r="H92" s="26" t="n">
        <x:v>0.019766698976067892</x:v>
      </x:c>
      <x:c r="I92" s="26" t="n">
        <x:v>0.012691348649380915</x:v>
      </x:c>
      <x:c r="J92" s="26" t="n">
        <x:v>0.06458912072222223</x:v>
      </x:c>
      <x:c r="K92" s="26" t="n">
        <x:v>0.005795766037920529</x:v>
      </x:c>
      <x:c r="L92" s="26" t="n">
        <x:v>0.12338247540652392</x:v>
      </x:c>
      <x:c r="M92" s="26" t="n">
        <x:v>0.015650930478624286</x:v>
      </x:c>
      <x:c r="N92" s="26" t="n">
        <x:v>0.2777777777777778</x:v>
      </x:c>
      <x:c r="O92" s="26" t="n">
        <x:v>0.2777777777777778</x:v>
      </x:c>
      <x:c r="P92" s="26" t="n">
        <x:v>16</x:v>
      </x:c>
      <x:c r="Q92" s="26" t="n">
        <x:v>196</x:v>
      </x:c>
      <x:c r="R92" s="26" t="n">
        <x:v>215</x:v>
      </x:c>
      <x:c r="S92" s="26" t="n">
        <x:v>0.0028306159420289877</x:v>
      </x:c>
      <x:c r="T92" s="26" t="n">
        <x:v>-0.009284280779367389</x:v>
      </x:c>
      <x:c r="U92" s="26" t="n">
        <x:v>0.014945512663425364</x:v>
      </x:c>
      <x:c r="V92" s="26" t="n">
        <x:v>0.32349446967005474</x:v>
      </x:c>
      <x:c r="W92" s="26" t="n">
        <x:v>-0.038606207499999996</x:v>
      </x:c>
      <x:c r="X92" s="26" t="n">
        <x:v>-0.14567778336510354</x:v>
      </x:c>
      <x:c r="Y92" s="26" t="n">
        <x:v>0.06846536836510353</x:v>
      </x:c>
      <x:c r="Z92" s="26" t="n">
        <x:v>0.7601255206946923</x:v>
      </x:c>
      <x:c r="AA92" s="26" t="n">
        <x:v>0.0625</x:v>
      </x:c>
      <x:c r="AB92" s="26" t="n">
        <x:v>0.0625</x:v>
      </x:c>
      <x:c r="AC92" s="39" t="b">
        <x:v>1</x:v>
      </x:c>
      <x:c r="AD92" s="39" t="b">
        <x:v>0</x:v>
      </x:c>
      <x:c r="AE92" s="39" t="b">
        <x:v>0</x:v>
      </x:c>
      <x:c r="AF92" s="26" t="n">
        <x:v>0.0028306159420289877</x:v>
      </x:c>
      <x:c r="AG92" s="26" t="n">
        <x:v>-0.038606207499999996</x:v>
      </x:c>
      <x:c r="AH92" s="26" t="n">
        <x:v>215</x:v>
      </x:c>
      <x:c r="AI92" s="26"/>
      <x:c r="AJ92" s="26" t="str">
        <x:v>결합 근거 부족</x:v>
      </x:c>
      <x:c r="AK92" s="27" t="str">
        <x:v>판매발생률·매출이 두 단독 방식보다 모두 높다는 조건을 충족하지 못함</x:v>
      </x:c>
    </x:row>
    <x:row r="93">
      <x:c r="A93" s="25" t="str">
        <x:v>GROCERY</x:v>
      </x:c>
      <x:c r="B93" s="26" t="str">
        <x:v>FRUIT - SHELF STABLE</x:v>
      </x:c>
      <x:c r="C93" s="26" t="n">
        <x:v>262</x:v>
      </x:c>
      <x:c r="D93" s="26" t="n">
        <x:v>7138</x:v>
      </x:c>
      <x:c r="E93" s="26" t="n">
        <x:v>14024</x:v>
      </x:c>
      <x:c r="F93" s="26" t="n">
        <x:v>-0.0021088635404111333</x:v>
      </x:c>
      <x:c r="G93" s="26" t="n">
        <x:v>-0.008611143788319228</x:v>
      </x:c>
      <x:c r="H93" s="26" t="n">
        <x:v>0.004393416707496961</x:v>
      </x:c>
      <x:c r="I93" s="26" t="n">
        <x:v>0.7375076446062094</x:v>
      </x:c>
      <x:c r="J93" s="26" t="n">
        <x:v>-0.005351677674312977</x:v>
      </x:c>
      <x:c r="K93" s="26" t="n">
        <x:v>-0.017662351061368382</x:v>
      </x:c>
      <x:c r="L93" s="26" t="n">
        <x:v>0.006958995712742429</x:v>
      </x:c>
      <x:c r="M93" s="26" t="n">
        <x:v>0.8029063555135442</x:v>
      </x:c>
      <x:c r="N93" s="26" t="n">
        <x:v>0.11450381679389313</x:v>
      </x:c>
      <x:c r="O93" s="26" t="n">
        <x:v>0.11068702290076336</x:v>
      </x:c>
      <x:c r="P93" s="26" t="n">
        <x:v>162</x:v>
      </x:c>
      <x:c r="Q93" s="26" t="n">
        <x:v>3553</x:v>
      </x:c>
      <x:c r="R93" s="26" t="n">
        <x:v>4798</x:v>
      </x:c>
      <x:c r="S93" s="26" t="n">
        <x:v>-0.013063014044283448</x:v>
      </x:c>
      <x:c r="T93" s="26" t="n">
        <x:v>-0.03354546065855984</x:v>
      </x:c>
      <x:c r="U93" s="26" t="n">
        <x:v>0.007419432569992944</x:v>
      </x:c>
      <x:c r="V93" s="26" t="n">
        <x:v>0.8943542324762093</x:v>
      </x:c>
      <x:c r="W93" s="26" t="n">
        <x:v>-0.03940383152469136</x:v>
      </x:c>
      <x:c r="X93" s="26" t="n">
        <x:v>-0.09326532854385011</x:v>
      </x:c>
      <x:c r="Y93" s="26" t="n">
        <x:v>0.014457665494467392</x:v>
      </x:c>
      <x:c r="Z93" s="26" t="n">
        <x:v>0.9241982987176391</x:v>
      </x:c>
      <x:c r="AA93" s="26" t="n">
        <x:v>0.08641975308641975</x:v>
      </x:c>
      <x:c r="AB93" s="26" t="n">
        <x:v>0.08024691358024691</x:v>
      </x:c>
      <x:c r="AC93" s="39" t="b">
        <x:v>1</x:v>
      </x:c>
      <x:c r="AD93" s="39" t="b">
        <x:v>0</x:v>
      </x:c>
      <x:c r="AE93" s="39" t="b">
        <x:v>0</x:v>
      </x:c>
      <x:c r="AF93" s="26" t="n">
        <x:v>-0.013063014044283448</x:v>
      </x:c>
      <x:c r="AG93" s="26" t="n">
        <x:v>-0.03940383152469136</x:v>
      </x:c>
      <x:c r="AH93" s="26" t="n">
        <x:v>4798</x:v>
      </x:c>
      <x:c r="AI93" s="26"/>
      <x:c r="AJ93" s="26" t="str">
        <x:v>결합 근거 부족</x:v>
      </x:c>
      <x:c r="AK93" s="27" t="str">
        <x:v>판매발생률·매출이 두 단독 방식보다 모두 높다는 조건을 충족하지 못함</x:v>
      </x:c>
    </x:row>
    <x:row r="94">
      <x:c r="A94" s="25" t="str">
        <x:v>GROCERY</x:v>
      </x:c>
      <x:c r="B94" s="26" t="str">
        <x:v>CANNED MILK</x:v>
      </x:c>
      <x:c r="C94" s="26" t="n">
        <x:v>5</x:v>
      </x:c>
      <x:c r="D94" s="26" t="n">
        <x:v>225</x:v>
      </x:c>
      <x:c r="E94" s="26" t="n">
        <x:v>481</x:v>
      </x:c>
      <x:c r="F94" s="26" t="n">
        <x:v>0.00029761904761904</x:v>
      </x:c>
      <x:c r="G94" s="26" t="n">
        <x:v>-0.0002857142857142783</x:v>
      </x:c>
      <x:c r="H94" s="26" t="n">
        <x:v>0.0008809523809523584</x:v>
      </x:c>
      <x:c r="I94" s="26" t="n">
        <x:v>0.158655253931457</x:v>
      </x:c>
      <x:c r="J94" s="26" t="n">
        <x:v>-0.039880952</x:v>
      </x:c>
      <x:c r="K94" s="26" t="n">
        <x:v>-0.11804761791999999</x:v>
      </x:c>
      <x:c r="L94" s="26" t="n">
        <x:v>0.03828571391999999</x:v>
      </x:c>
      <x:c r="M94" s="26" t="n">
        <x:v>0.8413447460685429</x:v>
      </x:c>
      <x:c r="N94" s="26" t="n">
        <x:v>0.2</x:v>
      </x:c>
      <x:c r="O94" s="26" t="n">
        <x:v>0</x:v>
      </x:c>
      <x:c r="P94" s="26" t="n">
        <x:v>4</x:v>
      </x:c>
      <x:c r="Q94" s="26" t="n">
        <x:v>44</x:v>
      </x:c>
      <x:c r="R94" s="26" t="n">
        <x:v>44</x:v>
      </x:c>
      <x:c r="S94" s="26" t="n">
        <x:v>0</x:v>
      </x:c>
      <x:c r="T94" s="26" t="n">
        <x:v>0</x:v>
      </x:c>
      <x:c r="U94" s="26" t="n">
        <x:v>0</x:v>
      </x:c>
      <x:c r="V94" s="26" t="n">
        <x:v>0.5</x:v>
      </x:c>
      <x:c r="W94" s="26" t="n">
        <x:v>0</x:v>
      </x:c>
      <x:c r="X94" s="26" t="n">
        <x:v>0</x:v>
      </x:c>
      <x:c r="Y94" s="26" t="n">
        <x:v>0</x:v>
      </x:c>
      <x:c r="Z94" s="26" t="n">
        <x:v>0.5</x:v>
      </x:c>
      <x:c r="AA94" s="26" t="n">
        <x:v>0</x:v>
      </x:c>
      <x:c r="AB94" s="26" t="n">
        <x:v>0</x:v>
      </x:c>
      <x:c r="AC94" s="39" t="b">
        <x:v>1</x:v>
      </x:c>
      <x:c r="AD94" s="39" t="b">
        <x:v>0</x:v>
      </x:c>
      <x:c r="AE94" s="39" t="b">
        <x:v>0</x:v>
      </x:c>
      <x:c r="AF94" s="26" t="n">
        <x:v>0</x:v>
      </x:c>
      <x:c r="AG94" s="26" t="n">
        <x:v>-0.039880952</x:v>
      </x:c>
      <x:c r="AH94" s="26" t="n">
        <x:v>44</x:v>
      </x:c>
      <x:c r="AI94" s="26"/>
      <x:c r="AJ94" s="26" t="str">
        <x:v>결합 근거 부족</x:v>
      </x:c>
      <x:c r="AK94" s="27" t="str">
        <x:v>판매발생률·매출이 두 단독 방식보다 모두 높다는 조건을 충족하지 못함</x:v>
      </x:c>
    </x:row>
    <x:row r="95">
      <x:c r="A95" s="25" t="str">
        <x:v>PRODUCE</x:v>
      </x:c>
      <x:c r="B95" s="26" t="str">
        <x:v>ONIONS</x:v>
      </x:c>
      <x:c r="C95" s="26" t="n">
        <x:v>15</x:v>
      </x:c>
      <x:c r="D95" s="26" t="n">
        <x:v>64</x:v>
      </x:c>
      <x:c r="E95" s="26" t="n">
        <x:v>120</x:v>
      </x:c>
      <x:c r="F95" s="26" t="n">
        <x:v>-0.015555555555555553</x:v>
      </x:c>
      <x:c r="G95" s="26" t="n">
        <x:v>-0.06191424299636397</x:v>
      </x:c>
      <x:c r="H95" s="26" t="n">
        <x:v>0.03080313188525287</x:v>
      </x:c>
      <x:c r="I95" s="26" t="n">
        <x:v>0.7446260830166126</x:v>
      </x:c>
      <x:c r="J95" s="26" t="n">
        <x:v>-0.04160000133333333</x:v>
      </x:c>
      <x:c r="K95" s="26" t="n">
        <x:v>-0.171060826808932</x:v>
      </x:c>
      <x:c r="L95" s="26" t="n">
        <x:v>0.08786082414226534</x:v>
      </x:c>
      <x:c r="M95" s="26" t="n">
        <x:v>0.7355912568163439</x:v>
      </x:c>
      <x:c r="N95" s="26" t="n">
        <x:v>0.06666666666666667</x:v>
      </x:c>
      <x:c r="O95" s="26" t="n">
        <x:v>0.06666666666666667</x:v>
      </x:c>
      <x:c r="P95" s="26" t="n">
        <x:v>7</x:v>
      </x:c>
      <x:c r="Q95" s="26" t="n">
        <x:v>14</x:v>
      </x:c>
      <x:c r="R95" s="26" t="n">
        <x:v>21</x:v>
      </x:c>
      <x:c r="S95" s="26" t="n">
        <x:v>-0.03571428571428571</x:v>
      </x:c>
      <x:c r="T95" s="26" t="n">
        <x:v>-0.10571428571428572</x:v>
      </x:c>
      <x:c r="U95" s="26" t="n">
        <x:v>0.034285714285714294</x:v>
      </x:c>
      <x:c r="V95" s="26" t="n">
        <x:v>0.8413447460685428</x:v>
      </x:c>
      <x:c r="W95" s="26" t="n">
        <x:v>0.000714285</x:v>
      </x:c>
      <x:c r="X95" s="26" t="n">
        <x:v>-0.0006857135999999999</x:v>
      </x:c>
      <x:c r="Y95" s="26" t="n">
        <x:v>0.0021142836</x:v>
      </x:c>
      <x:c r="Z95" s="26" t="n">
        <x:v>0.158655253931457</x:v>
      </x:c>
      <x:c r="AA95" s="26" t="n">
        <x:v>0</x:v>
      </x:c>
      <x:c r="AB95" s="26" t="n">
        <x:v>0.14285714285714285</x:v>
      </x:c>
      <x:c r="AC95" s="39" t="b">
        <x:v>1</x:v>
      </x:c>
      <x:c r="AD95" s="39" t="b">
        <x:v>0</x:v>
      </x:c>
      <x:c r="AE95" s="39" t="b">
        <x:v>0</x:v>
      </x:c>
      <x:c r="AF95" s="26" t="n">
        <x:v>-0.03571428571428571</x:v>
      </x:c>
      <x:c r="AG95" s="26" t="n">
        <x:v>-0.04160000133333333</x:v>
      </x:c>
      <x:c r="AH95" s="26" t="n">
        <x:v>21</x:v>
      </x:c>
      <x:c r="AI95" s="26"/>
      <x:c r="AJ95" s="26" t="str">
        <x:v>결합 근거 부족</x:v>
      </x:c>
      <x:c r="AK95" s="27" t="str">
        <x:v>판매발생률·매출이 두 단독 방식보다 모두 높다는 조건을 충족하지 못함</x:v>
      </x:c>
    </x:row>
    <x:row r="96">
      <x:c r="A96" s="25" t="str">
        <x:v>PRODUCE</x:v>
      </x:c>
      <x:c r="B96" s="26" t="str">
        <x:v>MELONS</x:v>
      </x:c>
      <x:c r="C96" s="26" t="n">
        <x:v>3</x:v>
      </x:c>
      <x:c r="D96" s="26" t="n">
        <x:v>18</x:v>
      </x:c>
      <x:c r="E96" s="26" t="n">
        <x:v>66</x:v>
      </x:c>
      <x:c r="F96" s="26" t="n">
        <x:v>0.041666666666666664</x:v>
      </x:c>
      <x:c r="G96" s="26" t="n">
        <x:v>-0.040000000000000015</x:v>
      </x:c>
      <x:c r="H96" s="26" t="n">
        <x:v>0.12333333333333335</x:v>
      </x:c>
      <x:c r="I96" s="26" t="n">
        <x:v>0.15865525393145713</x:v>
      </x:c>
      <x:c r="J96" s="26" t="n">
        <x:v>0.18930556666666667</x:v>
      </x:c>
      <x:c r="K96" s="26" t="n">
        <x:v>-0.18173334400000005</x:v>
      </x:c>
      <x:c r="L96" s="26" t="n">
        <x:v>0.5603444773333334</x:v>
      </x:c>
      <x:c r="M96" s="26" t="n">
        <x:v>0.15865525393145713</x:v>
      </x:c>
      <x:c r="N96" s="26" t="n">
        <x:v>0.3333333333333333</x:v>
      </x:c>
      <x:c r="O96" s="26" t="n">
        <x:v>0.3333333333333333</x:v>
      </x:c>
      <x:c r="P96" s="26" t="n">
        <x:v>3</x:v>
      </x:c>
      <x:c r="Q96" s="26" t="n">
        <x:v>24</x:v>
      </x:c>
      <x:c r="R96" s="26" t="n">
        <x:v>45</x:v>
      </x:c>
      <x:c r="S96" s="26" t="n">
        <x:v>0</x:v>
      </x:c>
      <x:c r="T96" s="26" t="n">
        <x:v>0</x:v>
      </x:c>
      <x:c r="U96" s="26" t="n">
        <x:v>0</x:v>
      </x:c>
      <x:c r="V96" s="26" t="n">
        <x:v>0.5</x:v>
      </x:c>
      <x:c r="W96" s="26" t="n">
        <x:v>-0.043958326666666665</x:v>
      </x:c>
      <x:c r="X96" s="26" t="n">
        <x:v>-0.13011664693333336</x:v>
      </x:c>
      <x:c r="Y96" s="26" t="n">
        <x:v>0.04219999360000002</x:v>
      </x:c>
      <x:c r="Z96" s="26" t="n">
        <x:v>0.8413447460685428</x:v>
      </x:c>
      <x:c r="AA96" s="26" t="n">
        <x:v>0</x:v>
      </x:c>
      <x:c r="AB96" s="26" t="n">
        <x:v>0</x:v>
      </x:c>
      <x:c r="AC96" s="39" t="b">
        <x:v>1</x:v>
      </x:c>
      <x:c r="AD96" s="39" t="b">
        <x:v>0</x:v>
      </x:c>
      <x:c r="AE96" s="39" t="b">
        <x:v>0</x:v>
      </x:c>
      <x:c r="AF96" s="26" t="n">
        <x:v>0</x:v>
      </x:c>
      <x:c r="AG96" s="26" t="n">
        <x:v>-0.043958326666666665</x:v>
      </x:c>
      <x:c r="AH96" s="26" t="n">
        <x:v>45</x:v>
      </x:c>
      <x:c r="AI96" s="26"/>
      <x:c r="AJ96" s="26" t="str">
        <x:v>결합 근거 부족</x:v>
      </x:c>
      <x:c r="AK96" s="27" t="str">
        <x:v>판매발생률·매출이 두 단독 방식보다 모두 높다는 조건을 충족하지 못함</x:v>
      </x:c>
    </x:row>
    <x:row r="97">
      <x:c r="A97" s="25" t="str">
        <x:v>PRODUCE</x:v>
      </x:c>
      <x:c r="B97" s="26" t="str">
        <x:v>MUSHROOMS</x:v>
      </x:c>
      <x:c r="C97" s="26" t="n">
        <x:v>7</x:v>
      </x:c>
      <x:c r="D97" s="26" t="n">
        <x:v>7</x:v>
      </x:c>
      <x:c r="E97" s="26" t="n">
        <x:v>7</x:v>
      </x:c>
      <x:c r="F97" s="26" t="n">
        <x:v>0</x:v>
      </x:c>
      <x:c r="G97" s="26" t="n">
        <x:v>0</x:v>
      </x:c>
      <x:c r="H97" s="26" t="n">
        <x:v>0</x:v>
      </x:c>
      <x:c r="I97" s="26" t="n">
        <x:v>0.5</x:v>
      </x:c>
      <x:c r="J97" s="26" t="n">
        <x:v>0</x:v>
      </x:c>
      <x:c r="K97" s="26" t="n">
        <x:v>0</x:v>
      </x:c>
      <x:c r="L97" s="26" t="n">
        <x:v>0</x:v>
      </x:c>
      <x:c r="M97" s="26" t="n">
        <x:v>0.5</x:v>
      </x:c>
      <x:c r="N97" s="26" t="n">
        <x:v>0</x:v>
      </x:c>
      <x:c r="O97" s="26" t="n">
        <x:v>0</x:v>
      </x:c>
      <x:c r="P97" s="26" t="n">
        <x:v>10</x:v>
      </x:c>
      <x:c r="Q97" s="26" t="n">
        <x:v>80</x:v>
      </x:c>
      <x:c r="R97" s="26" t="n">
        <x:v>160</x:v>
      </x:c>
      <x:c r="S97" s="26" t="n">
        <x:v>-0.01875</x:v>
      </x:c>
      <x:c r="T97" s="26" t="n">
        <x:v>-0.055499999999999994</x:v>
      </x:c>
      <x:c r="U97" s="26" t="n">
        <x:v>0.018</x:v>
      </x:c>
      <x:c r="V97" s="26" t="n">
        <x:v>0.8413447460685429</x:v>
      </x:c>
      <x:c r="W97" s="26" t="n">
        <x:v>-0.044750000299999995</x:v>
      </x:c>
      <x:c r="X97" s="26" t="n">
        <x:v>-0.12977264880266207</x:v>
      </x:c>
      <x:c r="Y97" s="26" t="n">
        <x:v>0.040272648202662076</x:v>
      </x:c>
      <x:c r="Z97" s="26" t="n">
        <x:v>0.8488719837226274</x:v>
      </x:c>
      <x:c r="AA97" s="26" t="n">
        <x:v>0</x:v>
      </x:c>
      <x:c r="AB97" s="26" t="n">
        <x:v>0</x:v>
      </x:c>
      <x:c r="AC97" s="39" t="b">
        <x:v>1</x:v>
      </x:c>
      <x:c r="AD97" s="39" t="b">
        <x:v>0</x:v>
      </x:c>
      <x:c r="AE97" s="39" t="b">
        <x:v>0</x:v>
      </x:c>
      <x:c r="AF97" s="26" t="n">
        <x:v>-0.01875</x:v>
      </x:c>
      <x:c r="AG97" s="26" t="n">
        <x:v>-0.044750000299999995</x:v>
      </x:c>
      <x:c r="AH97" s="26" t="n">
        <x:v>7</x:v>
      </x:c>
      <x:c r="AI97" s="26"/>
      <x:c r="AJ97" s="26" t="str">
        <x:v>결합 근거 부족</x:v>
      </x:c>
      <x:c r="AK97" s="27" t="str">
        <x:v>판매발생률·매출이 두 단독 방식보다 모두 높다는 조건을 충족하지 못함</x:v>
      </x:c>
    </x:row>
    <x:row r="98">
      <x:c r="A98" s="25" t="str">
        <x:v>GROCERY</x:v>
      </x:c>
      <x:c r="B98" s="26" t="str">
        <x:v>FLOUR &amp; MEALS</x:v>
      </x:c>
      <x:c r="C98" s="26" t="n">
        <x:v>12</x:v>
      </x:c>
      <x:c r="D98" s="26" t="n">
        <x:v>600</x:v>
      </x:c>
      <x:c r="E98" s="26" t="n">
        <x:v>995</x:v>
      </x:c>
      <x:c r="F98" s="26" t="n">
        <x:v>0.014204545454545442</x:v>
      </x:c>
      <x:c r="G98" s="26" t="n">
        <x:v>-0.024711399564257046</x:v>
      </x:c>
      <x:c r="H98" s="26" t="n">
        <x:v>0.05312049047334793</x:v>
      </x:c>
      <x:c r="I98" s="26" t="n">
        <x:v>0.23717744799047133</x:v>
      </x:c>
      <x:c r="J98" s="26" t="n">
        <x:v>0.014556819333333334</x:v>
      </x:c>
      <x:c r="K98" s="26" t="n">
        <x:v>-0.02448611872718514</x:v>
      </x:c>
      <x:c r="L98" s="26" t="n">
        <x:v>0.0535997573938518</x:v>
      </x:c>
      <x:c r="M98" s="26" t="n">
        <x:v>0.23246015357039274</x:v>
      </x:c>
      <x:c r="N98" s="26" t="n">
        <x:v>0.25</x:v>
      </x:c>
      <x:c r="O98" s="26" t="n">
        <x:v>0.25</x:v>
      </x:c>
      <x:c r="P98" s="26" t="n">
        <x:v>5</x:v>
      </x:c>
      <x:c r="Q98" s="26" t="n">
        <x:v>145</x:v>
      </x:c>
      <x:c r="R98" s="26" t="n">
        <x:v>145</x:v>
      </x:c>
      <x:c r="S98" s="26" t="n">
        <x:v>-0.027586206896551717</x:v>
      </x:c>
      <x:c r="T98" s="26" t="n">
        <x:v>-0.08165517241379308</x:v>
      </x:c>
      <x:c r="U98" s="26" t="n">
        <x:v>0.026482758620689648</x:v>
      </x:c>
      <x:c r="V98" s="26" t="n">
        <x:v>0.8413447460685429</x:v>
      </x:c>
      <x:c r="W98" s="26" t="n">
        <x:v>-0.049241382</x:v>
      </x:c>
      <x:c r="X98" s="26" t="n">
        <x:v>-0.14575449072000002</x:v>
      </x:c>
      <x:c r="Y98" s="26" t="n">
        <x:v>0.047271726720000004</x:v>
      </x:c>
      <x:c r="Z98" s="26" t="n">
        <x:v>0.8413447460685429</x:v>
      </x:c>
      <x:c r="AA98" s="26" t="n">
        <x:v>0</x:v>
      </x:c>
      <x:c r="AB98" s="26" t="n">
        <x:v>0</x:v>
      </x:c>
      <x:c r="AC98" s="39" t="b">
        <x:v>1</x:v>
      </x:c>
      <x:c r="AD98" s="39" t="b">
        <x:v>0</x:v>
      </x:c>
      <x:c r="AE98" s="39" t="b">
        <x:v>0</x:v>
      </x:c>
      <x:c r="AF98" s="26" t="n">
        <x:v>-0.027586206896551717</x:v>
      </x:c>
      <x:c r="AG98" s="26" t="n">
        <x:v>-0.049241382</x:v>
      </x:c>
      <x:c r="AH98" s="26" t="n">
        <x:v>145</x:v>
      </x:c>
      <x:c r="AI98" s="26"/>
      <x:c r="AJ98" s="26" t="str">
        <x:v>결합 근거 부족</x:v>
      </x:c>
      <x:c r="AK98" s="27" t="str">
        <x:v>판매발생률·매출이 두 단독 방식보다 모두 높다는 조건을 충족하지 못함</x:v>
      </x:c>
    </x:row>
    <x:row r="99">
      <x:c r="A99" s="25" t="str">
        <x:v>PRODUCE</x:v>
      </x:c>
      <x:c r="B99" s="26" t="str">
        <x:v>APPLES</x:v>
      </x:c>
      <x:c r="C99" s="26" t="n">
        <x:v>14</x:v>
      </x:c>
      <x:c r="D99" s="26" t="n">
        <x:v>41</x:v>
      </x:c>
      <x:c r="E99" s="26" t="n">
        <x:v>77</x:v>
      </x:c>
      <x:c r="F99" s="26" t="n">
        <x:v>0.06845238095238095</x:v>
      </x:c>
      <x:c r="G99" s="26" t="n">
        <x:v>-0.012586875652742927</x:v>
      </x:c>
      <x:c r="H99" s="26" t="n">
        <x:v>0.14949163755750483</x:v>
      </x:c>
      <x:c r="I99" s="26" t="n">
        <x:v>0.04890383391804195</x:v>
      </x:c>
      <x:c r="J99" s="26" t="n">
        <x:v>0.3976488142857143</x:v>
      </x:c>
      <x:c r="K99" s="26" t="n">
        <x:v>-0.22755733110449794</x:v>
      </x:c>
      <x:c r="L99" s="26" t="n">
        <x:v>1.0228549596759264</x:v>
      </x:c>
      <x:c r="M99" s="26" t="n">
        <x:v>0.10626925648461609</x:v>
      </x:c>
      <x:c r="N99" s="26" t="n">
        <x:v>0.21428571428571427</x:v>
      </x:c>
      <x:c r="O99" s="26" t="n">
        <x:v>0.21428571428571427</x:v>
      </x:c>
      <x:c r="P99" s="26" t="n">
        <x:v>10</x:v>
      </x:c>
      <x:c r="Q99" s="26" t="n">
        <x:v>16</x:v>
      </x:c>
      <x:c r="R99" s="26" t="n">
        <x:v>19</x:v>
      </x:c>
      <x:c r="S99" s="26" t="n">
        <x:v>-0.01666666666666666</x:v>
      </x:c>
      <x:c r="T99" s="26" t="n">
        <x:v>-0.04933333333333331</x:v>
      </x:c>
      <x:c r="U99" s="26" t="n">
        <x:v>0.01599999999999999</x:v>
      </x:c>
      <x:c r="V99" s="26" t="n">
        <x:v>0.8413447460685429</x:v>
      </x:c>
      <x:c r="W99" s="26" t="n">
        <x:v>-0.049833333</x:v>
      </x:c>
      <x:c r="X99" s="26" t="n">
        <x:v>-0.14750666567999998</x:v>
      </x:c>
      <x:c r="Y99" s="26" t="n">
        <x:v>0.04783999967999999</x:v>
      </x:c>
      <x:c r="Z99" s="26" t="n">
        <x:v>0.841344746068543</x:v>
      </x:c>
      <x:c r="AA99" s="26" t="n">
        <x:v>0</x:v>
      </x:c>
      <x:c r="AB99" s="26" t="n">
        <x:v>0</x:v>
      </x:c>
      <x:c r="AC99" s="39" t="b">
        <x:v>1</x:v>
      </x:c>
      <x:c r="AD99" s="39" t="b">
        <x:v>0</x:v>
      </x:c>
      <x:c r="AE99" s="39" t="b">
        <x:v>0</x:v>
      </x:c>
      <x:c r="AF99" s="26" t="n">
        <x:v>-0.01666666666666666</x:v>
      </x:c>
      <x:c r="AG99" s="26" t="n">
        <x:v>-0.049833333</x:v>
      </x:c>
      <x:c r="AH99" s="26" t="n">
        <x:v>19</x:v>
      </x:c>
      <x:c r="AI99" s="26"/>
      <x:c r="AJ99" s="26" t="str">
        <x:v>결합 근거 부족</x:v>
      </x:c>
      <x:c r="AK99" s="27" t="str">
        <x:v>판매발생률·매출이 두 단독 방식보다 모두 높다는 조건을 충족하지 못함</x:v>
      </x:c>
    </x:row>
    <x:row r="100">
      <x:c r="A100" s="25" t="str">
        <x:v>GROCERY</x:v>
      </x:c>
      <x:c r="B100" s="26" t="str">
        <x:v>SHORTENING/OIL</x:v>
      </x:c>
      <x:c r="C100" s="26" t="n">
        <x:v>61</x:v>
      </x:c>
      <x:c r="D100" s="26" t="n">
        <x:v>1711</x:v>
      </x:c>
      <x:c r="E100" s="26" t="n">
        <x:v>4869</x:v>
      </x:c>
      <x:c r="F100" s="26" t="n">
        <x:v>0.002377196103622982</x:v>
      </x:c>
      <x:c r="G100" s="26" t="n">
        <x:v>-0.000966317297130891</x:v>
      </x:c>
      <x:c r="H100" s="26" t="n">
        <x:v>0.005720709504376855</x:v>
      </x:c>
      <x:c r="I100" s="26" t="n">
        <x:v>0.0817289703925281</x:v>
      </x:c>
      <x:c r="J100" s="26" t="n">
        <x:v>0.011069503131147542</x:v>
      </x:c>
      <x:c r="K100" s="26" t="n">
        <x:v>-0.002484730733119495</x:v>
      </x:c>
      <x:c r="L100" s="26" t="n">
        <x:v>0.024623736995414577</x:v>
      </x:c>
      <x:c r="M100" s="26" t="n">
        <x:v>0.05472198494002243</x:v>
      </x:c>
      <x:c r="N100" s="26" t="n">
        <x:v>0.09836065573770492</x:v>
      </x:c>
      <x:c r="O100" s="26" t="n">
        <x:v>0.11475409836065574</x:v>
      </x:c>
      <x:c r="P100" s="26" t="n">
        <x:v>42</x:v>
      </x:c>
      <x:c r="Q100" s="26" t="n">
        <x:v>1159</x:v>
      </x:c>
      <x:c r="R100" s="26" t="n">
        <x:v>1521</x:v>
      </x:c>
      <x:c r="S100" s="26" t="n">
        <x:v>-0.009465513152149099</x:v>
      </x:c>
      <x:c r="T100" s="26" t="n">
        <x:v>-0.033224827096837765</x:v>
      </x:c>
      <x:c r="U100" s="26" t="n">
        <x:v>0.014293800792539566</x:v>
      </x:c>
      <x:c r="V100" s="26" t="n">
        <x:v>0.7825539639173845</x:v>
      </x:c>
      <x:c r="W100" s="26" t="n">
        <x:v>-0.05004060730952381</x:v>
      </x:c>
      <x:c r="X100" s="26" t="n">
        <x:v>-0.1434100706614413</x:v>
      </x:c>
      <x:c r="Y100" s="26" t="n">
        <x:v>0.043328856042393685</x:v>
      </x:c>
      <x:c r="Z100" s="26" t="n">
        <x:v>0.8532434741876939</x:v>
      </x:c>
      <x:c r="AA100" s="26" t="n">
        <x:v>0.07142857142857142</x:v>
      </x:c>
      <x:c r="AB100" s="26" t="n">
        <x:v>0.047619047619047616</x:v>
      </x:c>
      <x:c r="AC100" s="39" t="b">
        <x:v>1</x:v>
      </x:c>
      <x:c r="AD100" s="39" t="b">
        <x:v>0</x:v>
      </x:c>
      <x:c r="AE100" s="39" t="b">
        <x:v>0</x:v>
      </x:c>
      <x:c r="AF100" s="26" t="n">
        <x:v>-0.009465513152149099</x:v>
      </x:c>
      <x:c r="AG100" s="26" t="n">
        <x:v>-0.05004060730952381</x:v>
      </x:c>
      <x:c r="AH100" s="26" t="n">
        <x:v>1521</x:v>
      </x:c>
      <x:c r="AI100" s="26"/>
      <x:c r="AJ100" s="26" t="str">
        <x:v>결합 근거 부족</x:v>
      </x:c>
      <x:c r="AK100" s="27" t="str">
        <x:v>판매발생률·매출이 두 단독 방식보다 모두 높다는 조건을 충족하지 못함</x:v>
      </x:c>
    </x:row>
    <x:row r="101">
      <x:c r="A101" s="25" t="str">
        <x:v>DRUG GM</x:v>
      </x:c>
      <x:c r="B101" s="26" t="str">
        <x:v>EASTER</x:v>
      </x:c>
      <x:c r="C101" s="26" t="n">
        <x:v>51</x:v>
      </x:c>
      <x:c r="D101" s="26" t="n">
        <x:v>418</x:v>
      </x:c>
      <x:c r="E101" s="26" t="n">
        <x:v>710</x:v>
      </x:c>
      <x:c r="F101" s="26" t="n">
        <x:v>0.0009089494383612</x:v>
      </x:c>
      <x:c r="G101" s="26" t="n">
        <x:v>-0.0004383452908583482</x:v>
      </x:c>
      <x:c r="H101" s="26" t="n">
        <x:v>0.002256244167580748</x:v>
      </x:c>
      <x:c r="I101" s="26" t="n">
        <x:v>0.09303252079077501</x:v>
      </x:c>
      <x:c r="J101" s="26" t="n">
        <x:v>0.0007728545686274509</x:v>
      </x:c>
      <x:c r="K101" s="26" t="n">
        <x:v>-0.0011395184362029379</x:v>
      </x:c>
      <x:c r="L101" s="26" t="n">
        <x:v>0.0026852275734578395</x:v>
      </x:c>
      <x:c r="M101" s="26" t="n">
        <x:v>0.21415052996582973</x:v>
      </x:c>
      <x:c r="N101" s="26" t="n">
        <x:v>0.0392156862745098</x:v>
      </x:c>
      <x:c r="O101" s="26" t="n">
        <x:v>0.0196078431372549</x:v>
      </x:c>
      <x:c r="P101" s="26" t="n">
        <x:v>25</x:v>
      </x:c>
      <x:c r="Q101" s="26" t="n">
        <x:v>177</x:v>
      </x:c>
      <x:c r="R101" s="26" t="n">
        <x:v>223</x:v>
      </x:c>
      <x:c r="S101" s="26" t="n">
        <x:v>-0.031714285714285716</x:v>
      </x:c>
      <x:c r="T101" s="26" t="n">
        <x:v>-0.0795749055737624</x:v>
      </x:c>
      <x:c r="U101" s="26" t="n">
        <x:v>0.01614633414519096</x:v>
      </x:c>
      <x:c r="V101" s="26" t="n">
        <x:v>0.9029887885110185</x:v>
      </x:c>
      <x:c r="W101" s="26" t="n">
        <x:v>-0.0560571428</x:v>
      </x:c>
      <x:c r="X101" s="26" t="n">
        <x:v>-0.14976324982850842</x:v>
      </x:c>
      <x:c r="Y101" s="26" t="n">
        <x:v>0.0376489642285084</x:v>
      </x:c>
      <x:c r="Z101" s="26" t="n">
        <x:v>0.8795052168156763</x:v>
      </x:c>
      <x:c r="AA101" s="26" t="n">
        <x:v>0</x:v>
      </x:c>
      <x:c r="AB101" s="26" t="n">
        <x:v>0</x:v>
      </x:c>
      <x:c r="AC101" s="39" t="b">
        <x:v>1</x:v>
      </x:c>
      <x:c r="AD101" s="39" t="b">
        <x:v>0</x:v>
      </x:c>
      <x:c r="AE101" s="39" t="b">
        <x:v>0</x:v>
      </x:c>
      <x:c r="AF101" s="26" t="n">
        <x:v>-0.031714285714285716</x:v>
      </x:c>
      <x:c r="AG101" s="26" t="n">
        <x:v>-0.0560571428</x:v>
      </x:c>
      <x:c r="AH101" s="26" t="n">
        <x:v>223</x:v>
      </x:c>
      <x:c r="AI101" s="26"/>
      <x:c r="AJ101" s="26" t="str">
        <x:v>결합 근거 부족</x:v>
      </x:c>
      <x:c r="AK101" s="27" t="str">
        <x:v>판매발생률·매출이 두 단독 방식보다 모두 높다는 조건을 충족하지 못함</x:v>
      </x:c>
    </x:row>
    <x:row r="102">
      <x:c r="A102" s="25" t="str">
        <x:v>PRODUCE</x:v>
      </x:c>
      <x:c r="B102" s="26" t="str">
        <x:v>POTATOES</x:v>
      </x:c>
      <x:c r="C102" s="26" t="n">
        <x:v>19</x:v>
      </x:c>
      <x:c r="D102" s="26" t="n">
        <x:v>148</x:v>
      </x:c>
      <x:c r="E102" s="26" t="n">
        <x:v>341</x:v>
      </x:c>
      <x:c r="F102" s="26" t="n">
        <x:v>0.024002313475997687</x:v>
      </x:c>
      <x:c r="G102" s="26" t="n">
        <x:v>-0.011973648492575841</x:v>
      </x:c>
      <x:c r="H102" s="26" t="n">
        <x:v>0.05997827544457121</x:v>
      </x:c>
      <x:c r="I102" s="26" t="n">
        <x:v>0.09549334725069068</x:v>
      </x:c>
      <x:c r="J102" s="26" t="n">
        <x:v>-0.03518960631578947</x:v>
      </x:c>
      <x:c r="K102" s="26" t="n">
        <x:v>-0.26288697697457064</x:v>
      </x:c>
      <x:c r="L102" s="26" t="n">
        <x:v>0.1925077643429917</x:v>
      </x:c>
      <x:c r="M102" s="26" t="n">
        <x:v>0.6190204700045208</x:v>
      </x:c>
      <x:c r="N102" s="26" t="n">
        <x:v>0.10526315789473684</x:v>
      </x:c>
      <x:c r="O102" s="26" t="n">
        <x:v>0.10526315789473684</x:v>
      </x:c>
      <x:c r="P102" s="26" t="n">
        <x:v>17</x:v>
      </x:c>
      <x:c r="Q102" s="26" t="n">
        <x:v>40</x:v>
      </x:c>
      <x:c r="R102" s="26" t="n">
        <x:v>46</x:v>
      </x:c>
      <x:c r="S102" s="26" t="n">
        <x:v>-0.014705882352941176</x:v>
      </x:c>
      <x:c r="T102" s="26" t="n">
        <x:v>-0.043529411764705886</x:v>
      </x:c>
      <x:c r="U102" s="26" t="n">
        <x:v>0.014117647058823533</x:v>
      </x:c>
      <x:c r="V102" s="26" t="n">
        <x:v>0.8413447460685428</x:v>
      </x:c>
      <x:c r="W102" s="26" t="n">
        <x:v>-0.0715196</x:v>
      </x:c>
      <x:c r="X102" s="26" t="n">
        <x:v>-0.3625233805382457</x:v>
      </x:c>
      <x:c r="Y102" s="26" t="n">
        <x:v>0.21948418053824564</x:v>
      </x:c>
      <x:c r="Z102" s="26" t="n">
        <x:v>0.6849927751690086</x:v>
      </x:c>
      <x:c r="AA102" s="26" t="n">
        <x:v>0</x:v>
      </x:c>
      <x:c r="AB102" s="26" t="n">
        <x:v>0.058823529411764705</x:v>
      </x:c>
      <x:c r="AC102" s="39" t="b">
        <x:v>1</x:v>
      </x:c>
      <x:c r="AD102" s="39" t="b">
        <x:v>0</x:v>
      </x:c>
      <x:c r="AE102" s="39" t="b">
        <x:v>0</x:v>
      </x:c>
      <x:c r="AF102" s="26" t="n">
        <x:v>-0.014705882352941176</x:v>
      </x:c>
      <x:c r="AG102" s="26" t="n">
        <x:v>-0.0715196</x:v>
      </x:c>
      <x:c r="AH102" s="26" t="n">
        <x:v>46</x:v>
      </x:c>
      <x:c r="AI102" s="26"/>
      <x:c r="AJ102" s="26" t="str">
        <x:v>결합 근거 부족</x:v>
      </x:c>
      <x:c r="AK102" s="27" t="str">
        <x:v>판매발생률·매출이 두 단독 방식보다 모두 높다는 조건을 충족하지 못함</x:v>
      </x:c>
    </x:row>
    <x:row r="103">
      <x:c r="A103" s="25" t="str">
        <x:v>DRUG GM</x:v>
      </x:c>
      <x:c r="B103" s="26" t="str">
        <x:v>PORTABLE ELECTRIC APPLIANCES</x:v>
      </x:c>
      <x:c r="C103" s="26" t="n">
        <x:v>12</x:v>
      </x:c>
      <x:c r="D103" s="26" t="n">
        <x:v>79</x:v>
      </x:c>
      <x:c r="E103" s="26" t="n">
        <x:v>93</x:v>
      </x:c>
      <x:c r="F103" s="26" t="n">
        <x:v>-0.009259259259259259</x:v>
      </x:c>
      <x:c r="G103" s="26" t="n">
        <x:v>-0.027407407407407408</x:v>
      </x:c>
      <x:c r="H103" s="26" t="n">
        <x:v>0.00888888888888889</x:v>
      </x:c>
      <x:c r="I103" s="26" t="n">
        <x:v>0.8413447460685428</x:v>
      </x:c>
      <x:c r="J103" s="26" t="n">
        <x:v>-0.07398147916666667</x:v>
      </x:c>
      <x:c r="K103" s="26" t="n">
        <x:v>-0.21898517833333334</x:v>
      </x:c>
      <x:c r="L103" s="26" t="n">
        <x:v>0.07102222</x:v>
      </x:c>
      <x:c r="M103" s="26" t="n">
        <x:v>0.8413447460685429</x:v>
      </x:c>
      <x:c r="N103" s="26" t="n">
        <x:v>0</x:v>
      </x:c>
      <x:c r="O103" s="26" t="n">
        <x:v>0</x:v>
      </x:c>
      <x:c r="P103" s="26" t="n">
        <x:v>10</x:v>
      </x:c>
      <x:c r="Q103" s="26" t="n">
        <x:v>39</x:v>
      </x:c>
      <x:c r="R103" s="26" t="n">
        <x:v>39</x:v>
      </x:c>
      <x:c r="S103" s="26" t="n">
        <x:v>0</x:v>
      </x:c>
      <x:c r="T103" s="26" t="n">
        <x:v>0</x:v>
      </x:c>
      <x:c r="U103" s="26" t="n">
        <x:v>0</x:v>
      </x:c>
      <x:c r="V103" s="26" t="n">
        <x:v>0.5</x:v>
      </x:c>
      <x:c r="W103" s="26" t="n">
        <x:v>0</x:v>
      </x:c>
      <x:c r="X103" s="26" t="n">
        <x:v>0</x:v>
      </x:c>
      <x:c r="Y103" s="26" t="n">
        <x:v>0</x:v>
      </x:c>
      <x:c r="Z103" s="26" t="n">
        <x:v>0.5</x:v>
      </x:c>
      <x:c r="AA103" s="26" t="n">
        <x:v>0</x:v>
      </x:c>
      <x:c r="AB103" s="26" t="n">
        <x:v>0</x:v>
      </x:c>
      <x:c r="AC103" s="39" t="b">
        <x:v>1</x:v>
      </x:c>
      <x:c r="AD103" s="39" t="b">
        <x:v>0</x:v>
      </x:c>
      <x:c r="AE103" s="39" t="b">
        <x:v>0</x:v>
      </x:c>
      <x:c r="AF103" s="26" t="n">
        <x:v>-0.009259259259259259</x:v>
      </x:c>
      <x:c r="AG103" s="26" t="n">
        <x:v>-0.07398147916666667</x:v>
      </x:c>
      <x:c r="AH103" s="26" t="n">
        <x:v>39</x:v>
      </x:c>
      <x:c r="AI103" s="26"/>
      <x:c r="AJ103" s="26" t="str">
        <x:v>결합 근거 부족</x:v>
      </x:c>
      <x:c r="AK103" s="27" t="str">
        <x:v>판매발생률·매출이 두 단독 방식보다 모두 높다는 조건을 충족하지 못함</x:v>
      </x:c>
    </x:row>
    <x:row r="104">
      <x:c r="A104" s="25" t="str">
        <x:v>GROCERY</x:v>
      </x:c>
      <x:c r="B104" s="26" t="str">
        <x:v>CAT LITTER</x:v>
      </x:c>
      <x:c r="C104" s="26" t="n">
        <x:v>27</x:v>
      </x:c>
      <x:c r="D104" s="26" t="n">
        <x:v>411</x:v>
      </x:c>
      <x:c r="E104" s="26" t="n">
        <x:v>525</x:v>
      </x:c>
      <x:c r="F104" s="26" t="n">
        <x:v>0.0057827974494641145</x:v>
      </x:c>
      <x:c r="G104" s="26" t="n">
        <x:v>-0.006070910027874245</x:v>
      </x:c>
      <x:c r="H104" s="26" t="n">
        <x:v>0.017636504926802472</x:v>
      </x:c>
      <x:c r="I104" s="26" t="n">
        <x:v>0.16949054504650518</x:v>
      </x:c>
      <x:c r="J104" s="26" t="n">
        <x:v>0.03468643751851853</x:v>
      </x:c>
      <x:c r="K104" s="26" t="n">
        <x:v>-0.026477705988095533</x:v>
      </x:c>
      <x:c r="L104" s="26" t="n">
        <x:v>0.09585058102513258</x:v>
      </x:c>
      <x:c r="M104" s="26" t="n">
        <x:v>0.1331714183260584</x:v>
      </x:c>
      <x:c r="N104" s="26" t="n">
        <x:v>0.1111111111111111</x:v>
      </x:c>
      <x:c r="O104" s="26" t="n">
        <x:v>0.1111111111111111</x:v>
      </x:c>
      <x:c r="P104" s="26" t="n">
        <x:v>10</x:v>
      </x:c>
      <x:c r="Q104" s="26" t="n">
        <x:v>100</x:v>
      </x:c>
      <x:c r="R104" s="26" t="n">
        <x:v>100</x:v>
      </x:c>
      <x:c r="S104" s="26" t="n">
        <x:v>-0.00867208672086721</x:v>
      </x:c>
      <x:c r="T104" s="26" t="n">
        <x:v>-0.03148129251220836</x:v>
      </x:c>
      <x:c r="U104" s="26" t="n">
        <x:v>0.014137119070473938</x:v>
      </x:c>
      <x:c r="V104" s="26" t="n">
        <x:v>0.7719228636473416</x:v>
      </x:c>
      <x:c r="W104" s="26" t="n">
        <x:v>-0.077915171</x:v>
      </x:c>
      <x:c r="X104" s="26" t="n">
        <x:v>-0.22848690513553974</x:v>
      </x:c>
      <x:c r="Y104" s="26" t="n">
        <x:v>0.07265656313553973</x:v>
      </x:c>
      <x:c r="Z104" s="26" t="n">
        <x:v>0.8447624860831406</x:v>
      </x:c>
      <x:c r="AA104" s="26" t="n">
        <x:v>0.1</x:v>
      </x:c>
      <x:c r="AB104" s="26" t="n">
        <x:v>0.1</x:v>
      </x:c>
      <x:c r="AC104" s="39" t="b">
        <x:v>1</x:v>
      </x:c>
      <x:c r="AD104" s="39" t="b">
        <x:v>0</x:v>
      </x:c>
      <x:c r="AE104" s="39" t="b">
        <x:v>0</x:v>
      </x:c>
      <x:c r="AF104" s="26" t="n">
        <x:v>-0.00867208672086721</x:v>
      </x:c>
      <x:c r="AG104" s="26" t="n">
        <x:v>-0.077915171</x:v>
      </x:c>
      <x:c r="AH104" s="26" t="n">
        <x:v>100</x:v>
      </x:c>
      <x:c r="AI104" s="26"/>
      <x:c r="AJ104" s="26" t="str">
        <x:v>결합 근거 부족</x:v>
      </x:c>
      <x:c r="AK104" s="27" t="str">
        <x:v>판매발생률·매출이 두 단독 방식보다 모두 높다는 조건을 충족하지 못함</x:v>
      </x:c>
    </x:row>
    <x:row r="105">
      <x:c r="A105" s="25" t="str">
        <x:v>DRUG GM</x:v>
      </x:c>
      <x:c r="B105" s="26" t="str">
        <x:v>COFFEE FILTERS</x:v>
      </x:c>
      <x:c r="C105" s="26" t="n">
        <x:v>13</x:v>
      </x:c>
      <x:c r="D105" s="26" t="n">
        <x:v>63</x:v>
      </x:c>
      <x:c r="E105" s="26" t="n">
        <x:v>67</x:v>
      </x:c>
      <x:c r="F105" s="26" t="n">
        <x:v>-0.05384615384615384</x:v>
      </x:c>
      <x:c r="G105" s="26" t="n">
        <x:v>-0.1326702533257998</x:v>
      </x:c>
      <x:c r="H105" s="26" t="n">
        <x:v>0.024977945633492114</x:v>
      </x:c>
      <x:c r="I105" s="26" t="n">
        <x:v>0.9097001917530378</x:v>
      </x:c>
      <x:c r="J105" s="26" t="n">
        <x:v>-0.0923076923076923</x:v>
      </x:c>
      <x:c r="K105" s="26" t="n">
        <x:v>-0.2435786523530929</x:v>
      </x:c>
      <x:c r="L105" s="26" t="n">
        <x:v>0.05896326773770831</x:v>
      </x:c>
      <x:c r="M105" s="26" t="n">
        <x:v>0.8841556012409724</x:v>
      </x:c>
      <x:c r="N105" s="26" t="n">
        <x:v>0</x:v>
      </x:c>
      <x:c r="O105" s="26" t="n">
        <x:v>0</x:v>
      </x:c>
      <x:c r="P105" s="26" t="n">
        <x:v>1</x:v>
      </x:c>
      <x:c r="Q105" s="26" t="n">
        <x:v>1</x:v>
      </x:c>
      <x:c r="R105" s="26" t="n">
        <x:v>2</x:v>
      </x:c>
      <x:c r="S105" s="26" t="n">
        <x:v>0</x:v>
      </x:c>
      <x:c r="T105" s="26"/>
      <x:c r="U105" s="26"/>
      <x:c r="V105" s="26"/>
      <x:c r="W105" s="26" t="n">
        <x:v>0</x:v>
      </x:c>
      <x:c r="X105" s="26"/>
      <x:c r="Y105" s="26"/>
      <x:c r="Z105" s="26"/>
      <x:c r="AA105" s="26" t="n">
        <x:v>0</x:v>
      </x:c>
      <x:c r="AB105" s="26" t="n">
        <x:v>0</x:v>
      </x:c>
      <x:c r="AC105" s="39" t="b">
        <x:v>1</x:v>
      </x:c>
      <x:c r="AD105" s="39" t="b">
        <x:v>0</x:v>
      </x:c>
      <x:c r="AE105" s="39" t="b">
        <x:v>0</x:v>
      </x:c>
      <x:c r="AF105" s="26" t="n">
        <x:v>-0.05384615384615384</x:v>
      </x:c>
      <x:c r="AG105" s="26" t="n">
        <x:v>-0.0923076923076923</x:v>
      </x:c>
      <x:c r="AH105" s="26" t="n">
        <x:v>2</x:v>
      </x:c>
      <x:c r="AI105" s="26"/>
      <x:c r="AJ105" s="26" t="str">
        <x:v>결합 근거 부족</x:v>
      </x:c>
      <x:c r="AK105" s="27" t="str">
        <x:v>판매발생률·매출이 두 단독 방식보다 모두 높다는 조건을 충족하지 못함</x:v>
      </x:c>
    </x:row>
    <x:row r="106">
      <x:c r="A106" s="25" t="str">
        <x:v>DRUG GM</x:v>
      </x:c>
      <x:c r="B106" s="26" t="str">
        <x:v>DIAPERS &amp; DISPOSABLES</x:v>
      </x:c>
      <x:c r="C106" s="26" t="n">
        <x:v>237</x:v>
      </x:c>
      <x:c r="D106" s="26" t="n">
        <x:v>5228</x:v>
      </x:c>
      <x:c r="E106" s="26" t="n">
        <x:v>11092</x:v>
      </x:c>
      <x:c r="F106" s="26" t="n">
        <x:v>0.0018218497820498628</x:v>
      </x:c>
      <x:c r="G106" s="26" t="n">
        <x:v>-0.0013596972527119013</x:v>
      </x:c>
      <x:c r="H106" s="26" t="n">
        <x:v>0.005003396816811627</x:v>
      </x:c>
      <x:c r="I106" s="26" t="n">
        <x:v>0.1308557414091105</x:v>
      </x:c>
      <x:c r="J106" s="26" t="n">
        <x:v>0.026294515375527423</x:v>
      </x:c>
      <x:c r="K106" s="26" t="n">
        <x:v>-0.016498210248247668</x:v>
      </x:c>
      <x:c r="L106" s="26" t="n">
        <x:v>0.06908724099930251</x:v>
      </x:c>
      <x:c r="M106" s="26" t="n">
        <x:v>0.1142279271510914</x:v>
      </x:c>
      <x:c r="N106" s="26" t="n">
        <x:v>0.1350210970464135</x:v>
      </x:c>
      <x:c r="O106" s="26" t="n">
        <x:v>0.1350210970464135</x:v>
      </x:c>
      <x:c r="P106" s="26" t="n">
        <x:v>198</x:v>
      </x:c>
      <x:c r="Q106" s="26" t="n">
        <x:v>6270</x:v>
      </x:c>
      <x:c r="R106" s="26" t="n">
        <x:v>10910</x:v>
      </x:c>
      <x:c r="S106" s="26" t="n">
        <x:v>-0.005624758924934234</x:v>
      </x:c>
      <x:c r="T106" s="26" t="n">
        <x:v>-0.011494930430835687</x:v>
      </x:c>
      <x:c r="U106" s="26" t="n">
        <x:v>0.0002454125809672183</x:v>
      </x:c>
      <x:c r="V106" s="26" t="n">
        <x:v>0.969813441943246</x:v>
      </x:c>
      <x:c r="W106" s="26" t="n">
        <x:v>-0.11081936965757574</x:v>
      </x:c>
      <x:c r="X106" s="26" t="n">
        <x:v>-0.25168468876021116</x:v>
      </x:c>
      <x:c r="Y106" s="26" t="n">
        <x:v>0.030045949445059672</x:v>
      </x:c>
      <x:c r="Z106" s="26" t="n">
        <x:v>0.9384559941403163</x:v>
      </x:c>
      <x:c r="AA106" s="26" t="n">
        <x:v>0.10101010101010101</x:v>
      </x:c>
      <x:c r="AB106" s="26" t="n">
        <x:v>0.10606060606060606</x:v>
      </x:c>
      <x:c r="AC106" s="39" t="b">
        <x:v>1</x:v>
      </x:c>
      <x:c r="AD106" s="39" t="b">
        <x:v>0</x:v>
      </x:c>
      <x:c r="AE106" s="39" t="b">
        <x:v>0</x:v>
      </x:c>
      <x:c r="AF106" s="26" t="n">
        <x:v>-0.005624758924934234</x:v>
      </x:c>
      <x:c r="AG106" s="26" t="n">
        <x:v>-0.11081936965757574</x:v>
      </x:c>
      <x:c r="AH106" s="26" t="n">
        <x:v>10910</x:v>
      </x:c>
      <x:c r="AI106" s="26"/>
      <x:c r="AJ106" s="26" t="str">
        <x:v>결합 근거 부족</x:v>
      </x:c>
      <x:c r="AK106" s="27" t="str">
        <x:v>판매발생률·매출이 두 단독 방식보다 모두 높다는 조건을 충족하지 못함</x:v>
      </x:c>
    </x:row>
    <x:row r="107">
      <x:c r="A107" s="25" t="str">
        <x:v>PRODUCE</x:v>
      </x:c>
      <x:c r="B107" s="26" t="str">
        <x:v>NUTS</x:v>
      </x:c>
      <x:c r="C107" s="26" t="n">
        <x:v>17</x:v>
      </x:c>
      <x:c r="D107" s="26" t="n">
        <x:v>512</x:v>
      </x:c>
      <x:c r="E107" s="26" t="n">
        <x:v>930</x:v>
      </x:c>
      <x:c r="F107" s="26" t="n">
        <x:v>0.005741374832761383</x:v>
      </x:c>
      <x:c r="G107" s="26" t="n">
        <x:v>-0.005474505070536196</x:v>
      </x:c>
      <x:c r="H107" s="26" t="n">
        <x:v>0.016957254736058962</x:v>
      </x:c>
      <x:c r="I107" s="26" t="n">
        <x:v>0.15785371669978002</x:v>
      </x:c>
      <x:c r="J107" s="26" t="n">
        <x:v>0.06891057076470587</x:v>
      </x:c>
      <x:c r="K107" s="26" t="n">
        <x:v>-0.053865763576589024</x:v>
      </x:c>
      <x:c r="L107" s="26" t="n">
        <x:v>0.19168690510600078</x:v>
      </x:c>
      <x:c r="M107" s="26" t="n">
        <x:v>0.13564698561494534</x:v>
      </x:c>
      <x:c r="N107" s="26" t="n">
        <x:v>0.23529411764705882</x:v>
      </x:c>
      <x:c r="O107" s="26" t="n">
        <x:v>0.29411764705882354</x:v>
      </x:c>
      <x:c r="P107" s="26" t="n">
        <x:v>13</x:v>
      </x:c>
      <x:c r="Q107" s="26" t="n">
        <x:v>207</x:v>
      </x:c>
      <x:c r="R107" s="26" t="n">
        <x:v>225</x:v>
      </x:c>
      <x:c r="S107" s="26" t="n">
        <x:v>-0.03208472686733555</x:v>
      </x:c>
      <x:c r="T107" s="26" t="n">
        <x:v>-0.060364046702707536</x:v>
      </x:c>
      <x:c r="U107" s="26" t="n">
        <x:v>-0.003805407031963564</x:v>
      </x:c>
      <x:c r="V107" s="26" t="n">
        <x:v>0.9869172787531378</x:v>
      </x:c>
      <x:c r="W107" s="26" t="n">
        <x:v>-0.13217190153846156</x:v>
      </x:c>
      <x:c r="X107" s="26" t="n">
        <x:v>-0.2597855420756173</x:v>
      </x:c>
      <x:c r="Y107" s="26" t="n">
        <x:v>-0.0045582610013058245</x:v>
      </x:c>
      <x:c r="Z107" s="26" t="n">
        <x:v>0.9788222228953427</x:v>
      </x:c>
      <x:c r="AA107" s="26" t="n">
        <x:v>0</x:v>
      </x:c>
      <x:c r="AB107" s="26" t="n">
        <x:v>0</x:v>
      </x:c>
      <x:c r="AC107" s="39" t="b">
        <x:v>1</x:v>
      </x:c>
      <x:c r="AD107" s="39" t="b">
        <x:v>0</x:v>
      </x:c>
      <x:c r="AE107" s="39" t="b">
        <x:v>0</x:v>
      </x:c>
      <x:c r="AF107" s="26" t="n">
        <x:v>-0.03208472686733555</x:v>
      </x:c>
      <x:c r="AG107" s="26" t="n">
        <x:v>-0.13217190153846156</x:v>
      </x:c>
      <x:c r="AH107" s="26" t="n">
        <x:v>225</x:v>
      </x:c>
      <x:c r="AI107" s="26"/>
      <x:c r="AJ107" s="26" t="str">
        <x:v>결합 근거 부족</x:v>
      </x:c>
      <x:c r="AK107" s="27" t="str">
        <x:v>판매발생률·매출이 두 단독 방식보다 모두 높다는 조건을 충족하지 못함</x:v>
      </x:c>
    </x:row>
    <x:row r="108">
      <x:c r="A108" s="25" t="str">
        <x:v>PRODUCE</x:v>
      </x:c>
      <x:c r="B108" s="26" t="str">
        <x:v>CARROTS</x:v>
      </x:c>
      <x:c r="C108" s="26" t="n">
        <x:v>14</x:v>
      </x:c>
      <x:c r="D108" s="26" t="n">
        <x:v>68</x:v>
      </x:c>
      <x:c r="E108" s="26" t="n">
        <x:v>140</x:v>
      </x:c>
      <x:c r="F108" s="26" t="n">
        <x:v>0.03741496598639456</x:v>
      </x:c>
      <x:c r="G108" s="26" t="n">
        <x:v>-0.035918367346938804</x:v>
      </x:c>
      <x:c r="H108" s="26" t="n">
        <x:v>0.11074829931972792</x:v>
      </x:c>
      <x:c r="I108" s="26" t="n">
        <x:v>0.15865525393145716</x:v>
      </x:c>
      <x:c r="J108" s="26" t="n">
        <x:v>0.027244897857142857</x:v>
      </x:c>
      <x:c r="K108" s="26" t="n">
        <x:v>-0.02615510194285715</x:v>
      </x:c>
      <x:c r="L108" s="26" t="n">
        <x:v>0.08064489765714286</x:v>
      </x:c>
      <x:c r="M108" s="26" t="n">
        <x:v>0.15865525393145713</x:v>
      </x:c>
      <x:c r="N108" s="26" t="n">
        <x:v>0.07142857142857142</x:v>
      </x:c>
      <x:c r="O108" s="26" t="n">
        <x:v>0.07142857142857142</x:v>
      </x:c>
      <x:c r="P108" s="26" t="n">
        <x:v>14</x:v>
      </x:c>
      <x:c r="Q108" s="26" t="n">
        <x:v>51</x:v>
      </x:c>
      <x:c r="R108" s="26" t="n">
        <x:v>61</x:v>
      </x:c>
      <x:c r="S108" s="26" t="n">
        <x:v>-0.02976190476190476</x:v>
      </x:c>
      <x:c r="T108" s="26" t="n">
        <x:v>-0.13193173990748583</x:v>
      </x:c>
      <x:c r="U108" s="26" t="n">
        <x:v>0.07240793038367632</x:v>
      </x:c>
      <x:c r="V108" s="26" t="n">
        <x:v>0.7159814601421465</x:v>
      </x:c>
      <x:c r="W108" s="26" t="n">
        <x:v>-0.1780357114285714</x:v>
      </x:c>
      <x:c r="X108" s="26" t="n">
        <x:v>-0.5906639726194367</x:v>
      </x:c>
      <x:c r="Y108" s="26" t="n">
        <x:v>0.23459254976229385</x:v>
      </x:c>
      <x:c r="Z108" s="26" t="n">
        <x:v>0.8011333620236301</x:v>
      </x:c>
      <x:c r="AA108" s="26" t="n">
        <x:v>0.07142857142857142</x:v>
      </x:c>
      <x:c r="AB108" s="26" t="n">
        <x:v>0.07142857142857142</x:v>
      </x:c>
      <x:c r="AC108" s="39" t="b">
        <x:v>1</x:v>
      </x:c>
      <x:c r="AD108" s="39" t="b">
        <x:v>0</x:v>
      </x:c>
      <x:c r="AE108" s="39" t="b">
        <x:v>0</x:v>
      </x:c>
      <x:c r="AF108" s="26" t="n">
        <x:v>-0.02976190476190476</x:v>
      </x:c>
      <x:c r="AG108" s="26" t="n">
        <x:v>-0.1780357114285714</x:v>
      </x:c>
      <x:c r="AH108" s="26" t="n">
        <x:v>61</x:v>
      </x:c>
      <x:c r="AI108" s="26"/>
      <x:c r="AJ108" s="26" t="str">
        <x:v>결합 근거 부족</x:v>
      </x:c>
      <x:c r="AK108" s="27" t="str">
        <x:v>판매발생률·매출이 두 단독 방식보다 모두 높다는 조건을 충족하지 못함</x:v>
      </x:c>
    </x:row>
    <x:row r="109">
      <x:c r="A109" s="25" t="str">
        <x:v>GROCERY</x:v>
      </x:c>
      <x:c r="B109" s="26" t="str">
        <x:v>FRZN FRUITS</x:v>
      </x:c>
      <x:c r="C109" s="26" t="n">
        <x:v>33</x:v>
      </x:c>
      <x:c r="D109" s="26" t="n">
        <x:v>210</x:v>
      </x:c>
      <x:c r="E109" s="26" t="n">
        <x:v>286</x:v>
      </x:c>
      <x:c r="F109" s="26" t="n">
        <x:v>0</x:v>
      </x:c>
      <x:c r="G109" s="26" t="n">
        <x:v>0</x:v>
      </x:c>
      <x:c r="H109" s="26" t="n">
        <x:v>0</x:v>
      </x:c>
      <x:c r="I109" s="26" t="n">
        <x:v>0.5</x:v>
      </x:c>
      <x:c r="J109" s="26" t="n">
        <x:v>0</x:v>
      </x:c>
      <x:c r="K109" s="26" t="n">
        <x:v>0</x:v>
      </x:c>
      <x:c r="L109" s="26" t="n">
        <x:v>0</x:v>
      </x:c>
      <x:c r="M109" s="26" t="n">
        <x:v>0.5</x:v>
      </x:c>
      <x:c r="N109" s="26" t="n">
        <x:v>0</x:v>
      </x:c>
      <x:c r="O109" s="26" t="n">
        <x:v>0</x:v>
      </x:c>
      <x:c r="P109" s="26" t="n">
        <x:v>28</x:v>
      </x:c>
      <x:c r="Q109" s="26" t="n">
        <x:v>133</x:v>
      </x:c>
      <x:c r="R109" s="26" t="n">
        <x:v>133</x:v>
      </x:c>
      <x:c r="S109" s="26" t="n">
        <x:v>-0.0625</x:v>
      </x:c>
      <x:c r="T109" s="26" t="n">
        <x:v>-0.1621231324468294</x:v>
      </x:c>
      <x:c r="U109" s="26" t="n">
        <x:v>0.037123132446829424</x:v>
      </x:c>
      <x:c r="V109" s="26" t="n">
        <x:v>0.8905829212029879</x:v>
      </x:c>
      <x:c r="W109" s="26" t="n">
        <x:v>-0.22321428571428573</x:v>
      </x:c>
      <x:c r="X109" s="26" t="n">
        <x:v>-0.6227727804816235</x:v>
      </x:c>
      <x:c r="Y109" s="26" t="n">
        <x:v>0.17634420905305212</x:v>
      </x:c>
      <x:c r="Z109" s="26" t="n">
        <x:v>0.8632326073359811</x:v>
      </x:c>
      <x:c r="AA109" s="26" t="n">
        <x:v>0.03571428571428571</x:v>
      </x:c>
      <x:c r="AB109" s="26" t="n">
        <x:v>0.03571428571428571</x:v>
      </x:c>
      <x:c r="AC109" s="39" t="b">
        <x:v>1</x:v>
      </x:c>
      <x:c r="AD109" s="39" t="b">
        <x:v>0</x:v>
      </x:c>
      <x:c r="AE109" s="39" t="b">
        <x:v>0</x:v>
      </x:c>
      <x:c r="AF109" s="26" t="n">
        <x:v>-0.0625</x:v>
      </x:c>
      <x:c r="AG109" s="26" t="n">
        <x:v>-0.22321428571428573</x:v>
      </x:c>
      <x:c r="AH109" s="26" t="n">
        <x:v>133</x:v>
      </x:c>
      <x:c r="AI109" s="26"/>
      <x:c r="AJ109" s="26" t="str">
        <x:v>결합 근거 부족</x:v>
      </x:c>
      <x:c r="AK109" s="27" t="str">
        <x:v>판매발생률·매출이 두 단독 방식보다 모두 높다는 조건을 충족하지 못함</x:v>
      </x:c>
    </x:row>
    <x:row r="110">
      <x:c r="A110" s="25" t="str">
        <x:v>DRUG GM</x:v>
      </x:c>
      <x:c r="B110" s="26" t="str">
        <x:v>BOOKSTORE</x:v>
      </x:c>
      <x:c r="C110" s="26" t="n">
        <x:v>43</x:v>
      </x:c>
      <x:c r="D110" s="26" t="n">
        <x:v>120</x:v>
      </x:c>
      <x:c r="E110" s="26" t="n">
        <x:v>154</x:v>
      </x:c>
      <x:c r="F110" s="26" t="n">
        <x:v>0.018410852713178293</x:v>
      </x:c>
      <x:c r="G110" s="26" t="n">
        <x:v>-0.005942850874423877</x:v>
      </x:c>
      <x:c r="H110" s="26" t="n">
        <x:v>0.042764556300780465</x:v>
      </x:c>
      <x:c r="I110" s="26" t="n">
        <x:v>0.06920794415598398</x:v>
      </x:c>
      <x:c r="J110" s="26" t="n">
        <x:v>0.14371123720930234</x:v>
      </x:c>
      <x:c r="K110" s="26" t="n">
        <x:v>-0.028971216607465683</x:v>
      </x:c>
      <x:c r="L110" s="26" t="n">
        <x:v>0.3163936910260704</x:v>
      </x:c>
      <x:c r="M110" s="26" t="n">
        <x:v>0.05142747920625814</x:v>
      </x:c>
      <x:c r="N110" s="26" t="n">
        <x:v>0.06976744186046512</x:v>
      </x:c>
      <x:c r="O110" s="26" t="n">
        <x:v>0.06976744186046512</x:v>
      </x:c>
      <x:c r="P110" s="26" t="n">
        <x:v>30</x:v>
      </x:c>
      <x:c r="Q110" s="26" t="n">
        <x:v>166</x:v>
      </x:c>
      <x:c r="R110" s="26" t="n">
        <x:v>197</x:v>
      </x:c>
      <x:c r="S110" s="26" t="n">
        <x:v>-0.04343434343434344</x:v>
      </x:c>
      <x:c r="T110" s="26" t="n">
        <x:v>-0.11689414976299958</x:v>
      </x:c>
      <x:c r="U110" s="26" t="n">
        <x:v>0.03002546289431269</x:v>
      </x:c>
      <x:c r="V110" s="26" t="n">
        <x:v>0.8767480392694882</x:v>
      </x:c>
      <x:c r="W110" s="26" t="n">
        <x:v>-0.22948990033333333</x:v>
      </x:c>
      <x:c r="X110" s="26" t="n">
        <x:v>-0.5934136322430028</x:v>
      </x:c>
      <x:c r="Y110" s="26" t="n">
        <x:v>0.13443383157633615</x:v>
      </x:c>
      <x:c r="Z110" s="26" t="n">
        <x:v>0.8917658521578924</x:v>
      </x:c>
      <x:c r="AA110" s="26" t="n">
        <x:v>0.06666666666666667</x:v>
      </x:c>
      <x:c r="AB110" s="26" t="n">
        <x:v>0.06666666666666667</x:v>
      </x:c>
      <x:c r="AC110" s="39" t="b">
        <x:v>1</x:v>
      </x:c>
      <x:c r="AD110" s="39" t="b">
        <x:v>0</x:v>
      </x:c>
      <x:c r="AE110" s="39" t="b">
        <x:v>0</x:v>
      </x:c>
      <x:c r="AF110" s="26" t="n">
        <x:v>-0.04343434343434344</x:v>
      </x:c>
      <x:c r="AG110" s="26" t="n">
        <x:v>-0.22948990033333333</x:v>
      </x:c>
      <x:c r="AH110" s="26" t="n">
        <x:v>154</x:v>
      </x:c>
      <x:c r="AI110" s="26"/>
      <x:c r="AJ110" s="26" t="str">
        <x:v>결합 근거 부족</x:v>
      </x:c>
      <x:c r="AK110" s="27" t="str">
        <x:v>판매발생률·매출이 두 단독 방식보다 모두 높다는 조건을 충족하지 못함</x:v>
      </x:c>
    </x:row>
    <x:row r="111">
      <x:c r="A111" s="25" t="str">
        <x:v>DRUG GM</x:v>
      </x:c>
      <x:c r="B111" s="26" t="str">
        <x:v>LAXATIVES</x:v>
      </x:c>
      <x:c r="C111" s="26" t="n">
        <x:v>30</x:v>
      </x:c>
      <x:c r="D111" s="26" t="n">
        <x:v>189</x:v>
      </x:c>
      <x:c r="E111" s="26" t="n">
        <x:v>221</x:v>
      </x:c>
      <x:c r="F111" s="26" t="n">
        <x:v>0</x:v>
      </x:c>
      <x:c r="G111" s="26" t="n">
        <x:v>0</x:v>
      </x:c>
      <x:c r="H111" s="26" t="n">
        <x:v>0</x:v>
      </x:c>
      <x:c r="I111" s="26" t="n">
        <x:v>0.5</x:v>
      </x:c>
      <x:c r="J111" s="26" t="n">
        <x:v>0</x:v>
      </x:c>
      <x:c r="K111" s="26" t="n">
        <x:v>0</x:v>
      </x:c>
      <x:c r="L111" s="26" t="n">
        <x:v>0</x:v>
      </x:c>
      <x:c r="M111" s="26" t="n">
        <x:v>0.5</x:v>
      </x:c>
      <x:c r="N111" s="26" t="n">
        <x:v>0</x:v>
      </x:c>
      <x:c r="O111" s="26" t="n">
        <x:v>0</x:v>
      </x:c>
      <x:c r="P111" s="26" t="n">
        <x:v>3</x:v>
      </x:c>
      <x:c r="Q111" s="26" t="n">
        <x:v>11</x:v>
      </x:c>
      <x:c r="R111" s="26" t="n">
        <x:v>11</x:v>
      </x:c>
      <x:c r="S111" s="26" t="n">
        <x:v>-0.1111111111111111</x:v>
      </x:c>
      <x:c r="T111" s="26" t="n">
        <x:v>-0.3288888888888889</x:v>
      </x:c>
      <x:c r="U111" s="26" t="n">
        <x:v>0.10666666666666669</x:v>
      </x:c>
      <x:c r="V111" s="26" t="n">
        <x:v>0.8413447460685428</x:v>
      </x:c>
      <x:c r="W111" s="26" t="n">
        <x:v>-0.5544444333333333</x:v>
      </x:c>
      <x:c r="X111" s="26" t="n">
        <x:v>-1.6411555226666668</x:v>
      </x:c>
      <x:c r="Y111" s="26" t="n">
        <x:v>0.5322666560000001</x:v>
      </x:c>
      <x:c r="Z111" s="26" t="n">
        <x:v>0.8413447460685428</x:v>
      </x:c>
      <x:c r="AA111" s="26" t="n">
        <x:v>0</x:v>
      </x:c>
      <x:c r="AB111" s="26" t="n">
        <x:v>0</x:v>
      </x:c>
      <x:c r="AC111" s="39" t="b">
        <x:v>1</x:v>
      </x:c>
      <x:c r="AD111" s="39" t="b">
        <x:v>0</x:v>
      </x:c>
      <x:c r="AE111" s="39" t="b">
        <x:v>0</x:v>
      </x:c>
      <x:c r="AF111" s="26" t="n">
        <x:v>-0.1111111111111111</x:v>
      </x:c>
      <x:c r="AG111" s="26" t="n">
        <x:v>-0.5544444333333333</x:v>
      </x:c>
      <x:c r="AH111" s="26" t="n">
        <x:v>11</x:v>
      </x:c>
      <x:c r="AI111" s="26"/>
      <x:c r="AJ111" s="26" t="str">
        <x:v>결합 근거 부족</x:v>
      </x:c>
      <x:c r="AK111" s="27" t="str">
        <x:v>판매발생률·매출이 두 단독 방식보다 모두 높다는 조건을 충족하지 못함</x:v>
      </x:c>
    </x:row>
    <x:row r="112">
      <x:c r="A112" s="25" t="str">
        <x:v>DELI</x:v>
      </x:c>
      <x:c r="B112" s="26" t="str">
        <x:v>PARTY TRAYS</x:v>
      </x:c>
      <x:c r="C112" s="26" t="n">
        <x:v>9</x:v>
      </x:c>
      <x:c r="D112" s="26" t="n">
        <x:v>53</x:v>
      </x:c>
      <x:c r="E112" s="26" t="n">
        <x:v>211</x:v>
      </x:c>
      <x:c r="F112" s="26" t="n">
        <x:v>0.0022486772486772447</x:v>
      </x:c>
      <x:c r="G112" s="26" t="n">
        <x:v>-0.0007243381064434176</x:v>
      </x:c>
      <x:c r="H112" s="26" t="n">
        <x:v>0.0052216926037979075</x:v>
      </x:c>
      <x:c r="I112" s="26" t="n">
        <x:v>0.06910758049950913</x:v>
      </x:c>
      <x:c r="J112" s="26" t="n">
        <x:v>0.024316137777777778</x:v>
      </x:c>
      <x:c r="K112" s="26" t="n">
        <x:v>-0.007360318656537166</x:v>
      </x:c>
      <x:c r="L112" s="26" t="n">
        <x:v>0.055992594212092725</x:v>
      </x:c>
      <x:c r="M112" s="26" t="n">
        <x:v>0.06621658487058044</x:v>
      </x:c>
      <x:c r="N112" s="26" t="n">
        <x:v>0.2222222222222222</x:v>
      </x:c>
      <x:c r="O112" s="26" t="n">
        <x:v>0.2222222222222222</x:v>
      </x:c>
      <x:c r="P112" s="26" t="n">
        <x:v>4</x:v>
      </x:c>
      <x:c r="Q112" s="26" t="n">
        <x:v>47</x:v>
      </x:c>
      <x:c r="R112" s="26" t="n">
        <x:v>116</x:v>
      </x:c>
      <x:c r="S112" s="26" t="n">
        <x:v>-0.12339743589743589</x:v>
      </x:c>
      <x:c r="T112" s="26" t="n">
        <x:v>-0.2654861784896001</x:v>
      </x:c>
      <x:c r="U112" s="26" t="n">
        <x:v>0.018691306694728335</x:v>
      </x:c>
      <x:c r="V112" s="26" t="n">
        <x:v>0.9556381021137768</x:v>
      </x:c>
      <x:c r="W112" s="26" t="n">
        <x:v>-1.3059241525</x:v>
      </x:c>
      <x:c r="X112" s="26" t="n">
        <x:v>-2.6989263117945996</x:v>
      </x:c>
      <x:c r="Y112" s="26" t="n">
        <x:v>0.08707800679459954</x:v>
      </x:c>
      <x:c r="Z112" s="26" t="n">
        <x:v>0.966930346724395</x:v>
      </x:c>
      <x:c r="AA112" s="26" t="n">
        <x:v>0</x:v>
      </x:c>
      <x:c r="AB112" s="26" t="n">
        <x:v>0</x:v>
      </x:c>
      <x:c r="AC112" s="39" t="b">
        <x:v>1</x:v>
      </x:c>
      <x:c r="AD112" s="39" t="b">
        <x:v>0</x:v>
      </x:c>
      <x:c r="AE112" s="39" t="b">
        <x:v>0</x:v>
      </x:c>
      <x:c r="AF112" s="26" t="n">
        <x:v>-0.12339743589743589</x:v>
      </x:c>
      <x:c r="AG112" s="26" t="n">
        <x:v>-1.3059241525</x:v>
      </x:c>
      <x:c r="AH112" s="26" t="n">
        <x:v>116</x:v>
      </x:c>
      <x:c r="AI112" s="26"/>
      <x:c r="AJ112" s="26" t="str">
        <x:v>결합 근거 부족</x:v>
      </x:c>
      <x:c r="AK112" s="27" t="str">
        <x:v>판매발생률·매출이 두 단독 방식보다 모두 높다는 조건을 충족하지 못함</x:v>
      </x:c>
    </x:row>
    <x:row r="113">
      <x:c r="A113" s="25" t="str">
        <x:v>GARDEN CENTER</x:v>
      </x:c>
      <x:c r="B113" s="26" t="str">
        <x:v>GARDEN CENTER</x:v>
      </x:c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 t="n">
        <x:v>4</x:v>
      </x:c>
      <x:c r="Q113" s="26" t="n">
        <x:v>17</x:v>
      </x:c>
      <x:c r="R113" s="26" t="n">
        <x:v>21</x:v>
      </x:c>
      <x:c r="S113" s="26" t="n">
        <x:v>0.125</x:v>
      </x:c>
      <x:c r="T113" s="26" t="n">
        <x:v>-0.12</x:v>
      </x:c>
      <x:c r="U113" s="26" t="n">
        <x:v>0.37</x:v>
      </x:c>
      <x:c r="V113" s="26" t="n">
        <x:v>0.15865525393145705</x:v>
      </x:c>
      <x:c r="W113" s="26" t="n">
        <x:v>1.62375</x:v>
      </x:c>
      <x:c r="X113" s="26" t="n">
        <x:v>-1.5588</x:v>
      </x:c>
      <x:c r="Y113" s="26" t="n">
        <x:v>4.8063</x:v>
      </x:c>
      <x:c r="Z113" s="26" t="n">
        <x:v>0.15865525393145705</x:v>
      </x:c>
      <x:c r="AA113" s="26" t="n">
        <x:v>0.25</x:v>
      </x:c>
      <x:c r="AB113" s="26" t="n">
        <x:v>0.25</x:v>
      </x:c>
      <x:c r="AC113" s="39" t="b">
        <x:v>0</x:v>
      </x:c>
      <x:c r="AD113" s="39" t="b">
        <x:v>0</x:v>
      </x:c>
      <x:c r="AE113" s="39" t="b">
        <x:v>0</x:v>
      </x:c>
      <x:c r="AF113" s="26" t="n">
        <x:v>0.125</x:v>
      </x:c>
      <x:c r="AG113" s="26" t="n">
        <x:v>1.62375</x:v>
      </x:c>
      <x:c r="AH113" s="26" t="n">
        <x:v>21</x:v>
      </x:c>
      <x:c r="AI113" s="26"/>
      <x:c r="AJ113" s="26" t="str">
        <x:v>비교 자료 부족</x:v>
      </x:c>
      <x:c r="AK113" s="27" t="str">
        <x:v>진열만·전단만 중 하나와 비교할 자료가 없음</x:v>
      </x:c>
    </x:row>
    <x:row r="114">
      <x:c r="A114" s="25" t="str">
        <x:v>MEAT</x:v>
      </x:c>
      <x:c r="B114" s="26" t="str">
        <x:v>SMOKED MEATS</x:v>
      </x:c>
      <x:c r="C114" s="26" t="n">
        <x:v>4</x:v>
      </x:c>
      <x:c r="D114" s="26" t="n">
        <x:v>36</x:v>
      </x:c>
      <x:c r="E114" s="26" t="n">
        <x:v>36</x:v>
      </x:c>
      <x:c r="F114" s="26" t="n">
        <x:v>0.1361111111111111</x:v>
      </x:c>
      <x:c r="G114" s="26" t="n">
        <x:v>-0.07056275375755844</x:v>
      </x:c>
      <x:c r="H114" s="26" t="n">
        <x:v>0.34278497597978064</x:v>
      </x:c>
      <x:c r="I114" s="26" t="n">
        <x:v>0.09838387319751812</x:v>
      </x:c>
      <x:c r="J114" s="26" t="n">
        <x:v>0.35555555</x:v>
      </x:c>
      <x:c r="K114" s="26" t="n">
        <x:v>-0.21815559813649815</x:v>
      </x:c>
      <x:c r="L114" s="26" t="n">
        <x:v>0.9292666981364981</x:v>
      </x:c>
      <x:c r="M114" s="26" t="n">
        <x:v>0.11223961907377324</x:v>
      </x:c>
      <x:c r="N114" s="26" t="n">
        <x:v>0.5</x:v>
      </x:c>
      <x:c r="O114" s="26" t="n">
        <x:v>0.5</x:v>
      </x:c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  <x:c r="AA114" s="26"/>
      <x:c r="AB114" s="26"/>
      <x:c r="AC114" s="39" t="b">
        <x:v>0</x:v>
      </x:c>
      <x:c r="AD114" s="39" t="b">
        <x:v>0</x:v>
      </x:c>
      <x:c r="AE114" s="39" t="b">
        <x:v>0</x:v>
      </x:c>
      <x:c r="AF114" s="26" t="n">
        <x:v>0.1361111111111111</x:v>
      </x:c>
      <x:c r="AG114" s="26" t="n">
        <x:v>0.35555555</x:v>
      </x:c>
      <x:c r="AH114" s="26" t="n">
        <x:v>36</x:v>
      </x:c>
      <x:c r="AI114" s="26"/>
      <x:c r="AJ114" s="26" t="str">
        <x:v>비교 자료 부족</x:v>
      </x:c>
      <x:c r="AK114" s="27" t="str">
        <x:v>진열만·전단만 중 하나와 비교할 자료가 없음</x:v>
      </x:c>
    </x:row>
    <x:row r="115">
      <x:c r="A115" s="25" t="str">
        <x:v>DELI</x:v>
      </x:c>
      <x:c r="B115" s="26" t="str">
        <x:v>CHICKEN/POULTRY</x:v>
      </x:c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 t="n">
        <x:v>14</x:v>
      </x:c>
      <x:c r="Q115" s="26" t="n">
        <x:v>16</x:v>
      </x:c>
      <x:c r="R115" s="26" t="n">
        <x:v>16</x:v>
      </x:c>
      <x:c r="S115" s="26" t="n">
        <x:v>0.07142857142857142</x:v>
      </x:c>
      <x:c r="T115" s="26" t="n">
        <x:v>-0.06857142857142856</x:v>
      </x:c>
      <x:c r="U115" s="26" t="n">
        <x:v>0.2114285714285714</x:v>
      </x:c>
      <x:c r="V115" s="26" t="n">
        <x:v>0.15865525393145705</x:v>
      </x:c>
      <x:c r="W115" s="26" t="n">
        <x:v>0.28500000000000003</x:v>
      </x:c>
      <x:c r="X115" s="26" t="n">
        <x:v>-0.27359999999999995</x:v>
      </x:c>
      <x:c r="Y115" s="26" t="n">
        <x:v>0.8436</x:v>
      </x:c>
      <x:c r="Z115" s="26" t="n">
        <x:v>0.158655253931457</x:v>
      </x:c>
      <x:c r="AA115" s="26" t="n">
        <x:v>0.07142857142857142</x:v>
      </x:c>
      <x:c r="AB115" s="26" t="n">
        <x:v>0.07142857142857142</x:v>
      </x:c>
      <x:c r="AC115" s="39" t="b">
        <x:v>0</x:v>
      </x:c>
      <x:c r="AD115" s="39" t="b">
        <x:v>0</x:v>
      </x:c>
      <x:c r="AE115" s="39" t="b">
        <x:v>0</x:v>
      </x:c>
      <x:c r="AF115" s="26" t="n">
        <x:v>0.07142857142857142</x:v>
      </x:c>
      <x:c r="AG115" s="26" t="n">
        <x:v>0.28500000000000003</x:v>
      </x:c>
      <x:c r="AH115" s="26" t="n">
        <x:v>16</x:v>
      </x:c>
      <x:c r="AI115" s="26"/>
      <x:c r="AJ115" s="26" t="str">
        <x:v>비교 자료 부족</x:v>
      </x:c>
      <x:c r="AK115" s="27" t="str">
        <x:v>진열만·전단만 중 하나와 비교할 자료가 없음</x:v>
      </x:c>
    </x:row>
    <x:row r="116">
      <x:c r="A116" s="25" t="str">
        <x:v>DELI</x:v>
      </x:c>
      <x:c r="B116" s="26" t="str">
        <x:v>CHEESES</x:v>
      </x:c>
      <x:c r="C116" s="26" t="n">
        <x:v>9</x:v>
      </x:c>
      <x:c r="D116" s="26" t="n">
        <x:v>24</x:v>
      </x:c>
      <x:c r="E116" s="26" t="n">
        <x:v>24</x:v>
      </x:c>
      <x:c r="F116" s="26" t="n">
        <x:v>0.027777777777777776</x:v>
      </x:c>
      <x:c r="G116" s="26" t="n">
        <x:v>-0.026666666666666665</x:v>
      </x:c>
      <x:c r="H116" s="26" t="n">
        <x:v>0.08222222222222222</x:v>
      </x:c>
      <x:c r="I116" s="26" t="n">
        <x:v>0.15865525393145705</x:v>
      </x:c>
      <x:c r="J116" s="26" t="n">
        <x:v>0.027777777777777776</x:v>
      </x:c>
      <x:c r="K116" s="26" t="n">
        <x:v>-0.026666666666666665</x:v>
      </x:c>
      <x:c r="L116" s="26" t="n">
        <x:v>0.08222222222222222</x:v>
      </x:c>
      <x:c r="M116" s="26" t="n">
        <x:v>0.15865525393145705</x:v>
      </x:c>
      <x:c r="N116" s="26" t="n">
        <x:v>0.1111111111111111</x:v>
      </x:c>
      <x:c r="O116" s="26" t="n">
        <x:v>0.1111111111111111</x:v>
      </x:c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  <x:c r="AA116" s="26"/>
      <x:c r="AB116" s="26"/>
      <x:c r="AC116" s="39" t="b">
        <x:v>0</x:v>
      </x:c>
      <x:c r="AD116" s="39" t="b">
        <x:v>0</x:v>
      </x:c>
      <x:c r="AE116" s="39" t="b">
        <x:v>0</x:v>
      </x:c>
      <x:c r="AF116" s="26" t="n">
        <x:v>0.027777777777777776</x:v>
      </x:c>
      <x:c r="AG116" s="26" t="n">
        <x:v>0.027777777777777776</x:v>
      </x:c>
      <x:c r="AH116" s="26" t="n">
        <x:v>24</x:v>
      </x:c>
      <x:c r="AI116" s="26"/>
      <x:c r="AJ116" s="26" t="str">
        <x:v>비교 자료 부족</x:v>
      </x:c>
      <x:c r="AK116" s="27" t="str">
        <x:v>진열만·전단만 중 하나와 비교할 자료가 없음</x:v>
      </x:c>
    </x:row>
    <x:row r="117">
      <x:c r="A117" s="25" t="str">
        <x:v>NUTRITION</x:v>
      </x:c>
      <x:c r="B117" s="26" t="str">
        <x:v>NON-DAIRY BEVERAGES</x:v>
      </x:c>
      <x:c r="C117" s="26" t="n">
        <x:v>29</x:v>
      </x:c>
      <x:c r="D117" s="26" t="n">
        <x:v>304</x:v>
      </x:c>
      <x:c r="E117" s="26" t="n">
        <x:v>344</x:v>
      </x:c>
      <x:c r="F117" s="26" t="n">
        <x:v>0.007922824302134644</x:v>
      </x:c>
      <x:c r="G117" s="26" t="n">
        <x:v>-0.011740331971094886</x:v>
      </x:c>
      <x:c r="H117" s="26" t="n">
        <x:v>0.027585980575364176</x:v>
      </x:c>
      <x:c r="I117" s="26" t="n">
        <x:v>0.21484048733090916</x:v>
      </x:c>
      <x:c r="J117" s="26" t="n">
        <x:v>0.016540228896551726</x:v>
      </x:c>
      <x:c r="K117" s="26" t="n">
        <x:v>-0.038167407586122706</x:v>
      </x:c>
      <x:c r="L117" s="26" t="n">
        <x:v>0.07124786537922616</x:v>
      </x:c>
      <x:c r="M117" s="26" t="n">
        <x:v>0.2767299258022943</x:v>
      </x:c>
      <x:c r="N117" s="26" t="n">
        <x:v>0.06896551724137931</x:v>
      </x:c>
      <x:c r="O117" s="26" t="n">
        <x:v>0.06896551724137931</x:v>
      </x:c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  <x:c r="AA117" s="26"/>
      <x:c r="AB117" s="26"/>
      <x:c r="AC117" s="39" t="b">
        <x:v>0</x:v>
      </x:c>
      <x:c r="AD117" s="39" t="b">
        <x:v>0</x:v>
      </x:c>
      <x:c r="AE117" s="39" t="b">
        <x:v>0</x:v>
      </x:c>
      <x:c r="AF117" s="26" t="n">
        <x:v>0.007922824302134644</x:v>
      </x:c>
      <x:c r="AG117" s="26" t="n">
        <x:v>0.016540228896551726</x:v>
      </x:c>
      <x:c r="AH117" s="26" t="n">
        <x:v>344</x:v>
      </x:c>
      <x:c r="AI117" s="26"/>
      <x:c r="AJ117" s="26" t="str">
        <x:v>비교 자료 부족</x:v>
      </x:c>
      <x:c r="AK117" s="27" t="str">
        <x:v>진열만·전단만 중 하나와 비교할 자료가 없음</x:v>
      </x:c>
    </x:row>
    <x:row r="118">
      <x:c r="A118" s="25" t="str">
        <x:v>NUTRITION</x:v>
      </x:c>
      <x:c r="B118" s="26" t="str">
        <x:v>SOUP</x:v>
      </x:c>
      <x:c r="C118" s="26" t="n">
        <x:v>30</x:v>
      </x:c>
      <x:c r="D118" s="26" t="n">
        <x:v>135</x:v>
      </x:c>
      <x:c r="E118" s="26" t="n">
        <x:v>135</x:v>
      </x:c>
      <x:c r="F118" s="26" t="n">
        <x:v>0.007291666666666667</x:v>
      </x:c>
      <x:c r="G118" s="26" t="n">
        <x:v>-0.009238487264397447</x:v>
      </x:c>
      <x:c r="H118" s="26" t="n">
        <x:v>0.023821820597730782</x:v>
      </x:c>
      <x:c r="I118" s="26" t="n">
        <x:v>0.19363424204356966</x:v>
      </x:c>
      <x:c r="J118" s="26" t="n">
        <x:v>0.015979166666666666</x:v>
      </x:c>
      <x:c r="K118" s="26" t="n">
        <x:v>-0.020973954452726738</x:v>
      </x:c>
      <x:c r="L118" s="26" t="n">
        <x:v>0.05293228778606007</x:v>
      </x:c>
      <x:c r="M118" s="26" t="n">
        <x:v>0.19834771589049105</x:v>
      </x:c>
      <x:c r="N118" s="26" t="n">
        <x:v>0.03333333333333333</x:v>
      </x:c>
      <x:c r="O118" s="26" t="n">
        <x:v>0.03333333333333333</x:v>
      </x:c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  <x:c r="AA118" s="26"/>
      <x:c r="AB118" s="26"/>
      <x:c r="AC118" s="39" t="b">
        <x:v>0</x:v>
      </x:c>
      <x:c r="AD118" s="39" t="b">
        <x:v>0</x:v>
      </x:c>
      <x:c r="AE118" s="39" t="b">
        <x:v>0</x:v>
      </x:c>
      <x:c r="AF118" s="26" t="n">
        <x:v>0.007291666666666667</x:v>
      </x:c>
      <x:c r="AG118" s="26" t="n">
        <x:v>0.015979166666666666</x:v>
      </x:c>
      <x:c r="AH118" s="26" t="n">
        <x:v>135</x:v>
      </x:c>
      <x:c r="AI118" s="26"/>
      <x:c r="AJ118" s="26" t="str">
        <x:v>비교 자료 부족</x:v>
      </x:c>
      <x:c r="AK118" s="27" t="str">
        <x:v>진열만·전단만 중 하나와 비교할 자료가 없음</x:v>
      </x:c>
    </x:row>
    <x:row r="119">
      <x:c r="A119" s="25" t="str">
        <x:v>GROCERY</x:v>
      </x:c>
      <x:c r="B119" s="26" t="str">
        <x:v>OLIVES</x:v>
      </x:c>
      <x:c r="C119" s="26" t="n">
        <x:v>23</x:v>
      </x:c>
      <x:c r="D119" s="26" t="n">
        <x:v>223</x:v>
      </x:c>
      <x:c r="E119" s="26" t="n">
        <x:v>223</x:v>
      </x:c>
      <x:c r="F119" s="26" t="n">
        <x:v>0.01067193675889328</x:v>
      </x:c>
      <x:c r="G119" s="26" t="n">
        <x:v>-0.006633629838430749</x:v>
      </x:c>
      <x:c r="H119" s="26" t="n">
        <x:v>0.027977503356217306</x:v>
      </x:c>
      <x:c r="I119" s="26" t="n">
        <x:v>0.1133917513674227</x:v>
      </x:c>
      <x:c r="J119" s="26" t="n">
        <x:v>0.010671936826086957</x:v>
      </x:c>
      <x:c r="K119" s="26" t="n">
        <x:v>-0.006633629794819821</x:v>
      </x:c>
      <x:c r="L119" s="26" t="n">
        <x:v>0.027977503446993734</x:v>
      </x:c>
      <x:c r="M119" s="26" t="n">
        <x:v>0.11339175022151474</x:v>
      </x:c>
      <x:c r="N119" s="26" t="n">
        <x:v>0.08695652173913043</x:v>
      </x:c>
      <x:c r="O119" s="26" t="n">
        <x:v>0.08695652173913043</x:v>
      </x:c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  <x:c r="AA119" s="26"/>
      <x:c r="AB119" s="26"/>
      <x:c r="AC119" s="39" t="b">
        <x:v>0</x:v>
      </x:c>
      <x:c r="AD119" s="39" t="b">
        <x:v>0</x:v>
      </x:c>
      <x:c r="AE119" s="39" t="b">
        <x:v>0</x:v>
      </x:c>
      <x:c r="AF119" s="26" t="n">
        <x:v>0.01067193675889328</x:v>
      </x:c>
      <x:c r="AG119" s="26" t="n">
        <x:v>0.010671936826086957</x:v>
      </x:c>
      <x:c r="AH119" s="26" t="n">
        <x:v>223</x:v>
      </x:c>
      <x:c r="AI119" s="26"/>
      <x:c r="AJ119" s="26" t="str">
        <x:v>비교 자료 부족</x:v>
      </x:c>
      <x:c r="AK119" s="27" t="str">
        <x:v>진열만·전단만 중 하나와 비교할 자료가 없음</x:v>
      </x:c>
    </x:row>
    <x:row r="120">
      <x:c r="A120" s="25" t="str">
        <x:v>GROCERY</x:v>
      </x:c>
      <x:c r="B120" s="26" t="str">
        <x:v>DRY NOODLES/PASTA</x:v>
      </x:c>
      <x:c r="C120" s="26" t="n">
        <x:v>68</x:v>
      </x:c>
      <x:c r="D120" s="26" t="n">
        <x:v>713</x:v>
      </x:c>
      <x:c r="E120" s="26" t="n">
        <x:v>810</x:v>
      </x:c>
      <x:c r="F120" s="26" t="n">
        <x:v>-0.007056866864392815</x:v>
      </x:c>
      <x:c r="G120" s="26" t="n">
        <x:v>-0.03968268147318005</x:v>
      </x:c>
      <x:c r="H120" s="26" t="n">
        <x:v>0.025568947744394416</x:v>
      </x:c>
      <x:c r="I120" s="26" t="n">
        <x:v>0.6641960101754025</x:v>
      </x:c>
      <x:c r="J120" s="26" t="n">
        <x:v>0.006006732367647059</x:v>
      </x:c>
      <x:c r="K120" s="26" t="n">
        <x:v>-0.03122988993268104</x:v>
      </x:c>
      <x:c r="L120" s="26" t="n">
        <x:v>0.04324335466797516</x:v>
      </x:c>
      <x:c r="M120" s="26" t="n">
        <x:v>0.3759357952025554</x:v>
      </x:c>
      <x:c r="N120" s="26" t="n">
        <x:v>0.07352941176470588</x:v>
      </x:c>
      <x:c r="O120" s="26" t="n">
        <x:v>0.07352941176470588</x:v>
      </x:c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  <x:c r="AA120" s="26"/>
      <x:c r="AB120" s="26"/>
      <x:c r="AC120" s="39" t="b">
        <x:v>0</x:v>
      </x:c>
      <x:c r="AD120" s="39" t="b">
        <x:v>0</x:v>
      </x:c>
      <x:c r="AE120" s="39" t="b">
        <x:v>0</x:v>
      </x:c>
      <x:c r="AF120" s="26" t="n">
        <x:v>-0.007056866864392815</x:v>
      </x:c>
      <x:c r="AG120" s="26" t="n">
        <x:v>0.006006732367647059</x:v>
      </x:c>
      <x:c r="AH120" s="26" t="n">
        <x:v>810</x:v>
      </x:c>
      <x:c r="AI120" s="26"/>
      <x:c r="AJ120" s="26" t="str">
        <x:v>비교 자료 부족</x:v>
      </x:c>
      <x:c r="AK120" s="27" t="str">
        <x:v>진열만·전단만 중 하나와 비교할 자료가 없음</x:v>
      </x:c>
    </x:row>
    <x:row r="121">
      <x:c r="A121" s="25" t="str">
        <x:v>COSMETICS</x:v>
      </x:c>
      <x:c r="B121" s="26" t="str">
        <x:v>FRAGRANCES</x:v>
      </x:c>
      <x:c r="C121" s="26" t="n">
        <x:v>1</x:v>
      </x:c>
      <x:c r="D121" s="26" t="n">
        <x:v>1</x:v>
      </x:c>
      <x:c r="E121" s="26" t="n">
        <x:v>1</x:v>
      </x:c>
      <x:c r="F121" s="26" t="n">
        <x:v>0</x:v>
      </x:c>
      <x:c r="G121" s="26"/>
      <x:c r="H121" s="26"/>
      <x:c r="I121" s="26"/>
      <x:c r="J121" s="26" t="n">
        <x:v>0</x:v>
      </x:c>
      <x:c r="K121" s="26"/>
      <x:c r="L121" s="26"/>
      <x:c r="M121" s="26"/>
      <x:c r="N121" s="26" t="n">
        <x:v>0</x:v>
      </x:c>
      <x:c r="O121" s="26" t="n">
        <x:v>0</x:v>
      </x:c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  <x:c r="AA121" s="26"/>
      <x:c r="AB121" s="26"/>
      <x:c r="AC121" s="39" t="b">
        <x:v>0</x:v>
      </x:c>
      <x:c r="AD121" s="39" t="b">
        <x:v>0</x:v>
      </x:c>
      <x:c r="AE121" s="39" t="b">
        <x:v>0</x:v>
      </x:c>
      <x:c r="AF121" s="26" t="n">
        <x:v>0</x:v>
      </x:c>
      <x:c r="AG121" s="26" t="n">
        <x:v>0</x:v>
      </x:c>
      <x:c r="AH121" s="26" t="n">
        <x:v>1</x:v>
      </x:c>
      <x:c r="AI121" s="26"/>
      <x:c r="AJ121" s="26" t="str">
        <x:v>비교 자료 부족</x:v>
      </x:c>
      <x:c r="AK121" s="27" t="str">
        <x:v>진열만·전단만 중 하나와 비교할 자료가 없음</x:v>
      </x:c>
    </x:row>
    <x:row r="122">
      <x:c r="A122" s="25" t="str">
        <x:v>DRUG GM</x:v>
      </x:c>
      <x:c r="B122" s="26" t="str">
        <x:v>ETHNIC PERSONAL CARE</x:v>
      </x:c>
      <x:c r="C122" s="26" t="n">
        <x:v>1</x:v>
      </x:c>
      <x:c r="D122" s="26" t="n">
        <x:v>4</x:v>
      </x:c>
      <x:c r="E122" s="26" t="n">
        <x:v>4</x:v>
      </x:c>
      <x:c r="F122" s="26" t="n">
        <x:v>0</x:v>
      </x:c>
      <x:c r="G122" s="26"/>
      <x:c r="H122" s="26"/>
      <x:c r="I122" s="26"/>
      <x:c r="J122" s="26" t="n">
        <x:v>0</x:v>
      </x:c>
      <x:c r="K122" s="26"/>
      <x:c r="L122" s="26"/>
      <x:c r="M122" s="26"/>
      <x:c r="N122" s="26" t="n">
        <x:v>0</x:v>
      </x:c>
      <x:c r="O122" s="26" t="n">
        <x:v>0</x:v>
      </x:c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  <x:c r="AA122" s="26"/>
      <x:c r="AB122" s="26"/>
      <x:c r="AC122" s="39" t="b">
        <x:v>0</x:v>
      </x:c>
      <x:c r="AD122" s="39" t="b">
        <x:v>0</x:v>
      </x:c>
      <x:c r="AE122" s="39" t="b">
        <x:v>0</x:v>
      </x:c>
      <x:c r="AF122" s="26" t="n">
        <x:v>0</x:v>
      </x:c>
      <x:c r="AG122" s="26" t="n">
        <x:v>0</x:v>
      </x:c>
      <x:c r="AH122" s="26" t="n">
        <x:v>4</x:v>
      </x:c>
      <x:c r="AI122" s="26"/>
      <x:c r="AJ122" s="26" t="str">
        <x:v>비교 자료 부족</x:v>
      </x:c>
      <x:c r="AK122" s="27" t="str">
        <x:v>진열만·전단만 중 하나와 비교할 자료가 없음</x:v>
      </x:c>
    </x:row>
    <x:row r="123">
      <x:c r="A123" s="25" t="str">
        <x:v>DRUG GM</x:v>
      </x:c>
      <x:c r="B123" s="26" t="str">
        <x:v>FALL AND WINTER SEASONAL</x:v>
      </x:c>
      <x:c r="C123" s="26" t="n">
        <x:v>1</x:v>
      </x:c>
      <x:c r="D123" s="26" t="n">
        <x:v>1</x:v>
      </x:c>
      <x:c r="E123" s="26" t="n">
        <x:v>1</x:v>
      </x:c>
      <x:c r="F123" s="26" t="n">
        <x:v>0</x:v>
      </x:c>
      <x:c r="G123" s="26"/>
      <x:c r="H123" s="26"/>
      <x:c r="I123" s="26"/>
      <x:c r="J123" s="26" t="n">
        <x:v>0</x:v>
      </x:c>
      <x:c r="K123" s="26"/>
      <x:c r="L123" s="26"/>
      <x:c r="M123" s="26"/>
      <x:c r="N123" s="26" t="n">
        <x:v>0</x:v>
      </x:c>
      <x:c r="O123" s="26" t="n">
        <x:v>0</x:v>
      </x:c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  <x:c r="AA123" s="26"/>
      <x:c r="AB123" s="26"/>
      <x:c r="AC123" s="39" t="b">
        <x:v>0</x:v>
      </x:c>
      <x:c r="AD123" s="39" t="b">
        <x:v>0</x:v>
      </x:c>
      <x:c r="AE123" s="39" t="b">
        <x:v>0</x:v>
      </x:c>
      <x:c r="AF123" s="26" t="n">
        <x:v>0</x:v>
      </x:c>
      <x:c r="AG123" s="26" t="n">
        <x:v>0</x:v>
      </x:c>
      <x:c r="AH123" s="26" t="n">
        <x:v>1</x:v>
      </x:c>
      <x:c r="AI123" s="26"/>
      <x:c r="AJ123" s="26" t="str">
        <x:v>비교 자료 부족</x:v>
      </x:c>
      <x:c r="AK123" s="27" t="str">
        <x:v>진열만·전단만 중 하나와 비교할 자료가 없음</x:v>
      </x:c>
    </x:row>
    <x:row r="124">
      <x:c r="A124" s="25" t="str">
        <x:v>DRUG GM</x:v>
      </x:c>
      <x:c r="B124" s="26" t="str">
        <x:v>FD WRAPS/BAGS/TRSH BG</x:v>
      </x:c>
      <x:c r="C124" s="26" t="n">
        <x:v>1</x:v>
      </x:c>
      <x:c r="D124" s="26" t="n">
        <x:v>17</x:v>
      </x:c>
      <x:c r="E124" s="26" t="n">
        <x:v>17</x:v>
      </x:c>
      <x:c r="F124" s="26" t="n">
        <x:v>0</x:v>
      </x:c>
      <x:c r="G124" s="26"/>
      <x:c r="H124" s="26"/>
      <x:c r="I124" s="26"/>
      <x:c r="J124" s="26" t="n">
        <x:v>0</x:v>
      </x:c>
      <x:c r="K124" s="26"/>
      <x:c r="L124" s="26"/>
      <x:c r="M124" s="26"/>
      <x:c r="N124" s="26" t="n">
        <x:v>0</x:v>
      </x:c>
      <x:c r="O124" s="26" t="n">
        <x:v>0</x:v>
      </x:c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  <x:c r="AA124" s="26"/>
      <x:c r="AB124" s="26"/>
      <x:c r="AC124" s="39" t="b">
        <x:v>0</x:v>
      </x:c>
      <x:c r="AD124" s="39" t="b">
        <x:v>0</x:v>
      </x:c>
      <x:c r="AE124" s="39" t="b">
        <x:v>0</x:v>
      </x:c>
      <x:c r="AF124" s="26" t="n">
        <x:v>0</x:v>
      </x:c>
      <x:c r="AG124" s="26" t="n">
        <x:v>0</x:v>
      </x:c>
      <x:c r="AH124" s="26" t="n">
        <x:v>17</x:v>
      </x:c>
      <x:c r="AI124" s="26"/>
      <x:c r="AJ124" s="26" t="str">
        <x:v>비교 자료 부족</x:v>
      </x:c>
      <x:c r="AK124" s="27" t="str">
        <x:v>진열만·전단만 중 하나와 비교할 자료가 없음</x:v>
      </x:c>
    </x:row>
    <x:row r="125">
      <x:c r="A125" s="25" t="str">
        <x:v>DRUG GM</x:v>
      </x:c>
      <x:c r="B125" s="26" t="str">
        <x:v>FRAGRANCES</x:v>
      </x:c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 t="n">
        <x:v>1</x:v>
      </x:c>
      <x:c r="Q125" s="26" t="n">
        <x:v>1</x:v>
      </x:c>
      <x:c r="R125" s="26" t="n">
        <x:v>1</x:v>
      </x:c>
      <x:c r="S125" s="26" t="n">
        <x:v>0</x:v>
      </x:c>
      <x:c r="T125" s="26"/>
      <x:c r="U125" s="26"/>
      <x:c r="V125" s="26"/>
      <x:c r="W125" s="26" t="n">
        <x:v>0</x:v>
      </x:c>
      <x:c r="X125" s="26"/>
      <x:c r="Y125" s="26"/>
      <x:c r="Z125" s="26"/>
      <x:c r="AA125" s="26" t="n">
        <x:v>0</x:v>
      </x:c>
      <x:c r="AB125" s="26" t="n">
        <x:v>0</x:v>
      </x:c>
      <x:c r="AC125" s="39" t="b">
        <x:v>0</x:v>
      </x:c>
      <x:c r="AD125" s="39" t="b">
        <x:v>0</x:v>
      </x:c>
      <x:c r="AE125" s="39" t="b">
        <x:v>0</x:v>
      </x:c>
      <x:c r="AF125" s="26" t="n">
        <x:v>0</x:v>
      </x:c>
      <x:c r="AG125" s="26" t="n">
        <x:v>0</x:v>
      </x:c>
      <x:c r="AH125" s="26" t="n">
        <x:v>1</x:v>
      </x:c>
      <x:c r="AI125" s="26"/>
      <x:c r="AJ125" s="26" t="str">
        <x:v>비교 자료 부족</x:v>
      </x:c>
      <x:c r="AK125" s="27" t="str">
        <x:v>진열만·전단만 중 하나와 비교할 자료가 없음</x:v>
      </x:c>
    </x:row>
    <x:row r="126">
      <x:c r="A126" s="25" t="str">
        <x:v>DRUG GM</x:v>
      </x:c>
      <x:c r="B126" s="26" t="str">
        <x:v>HOME FREEZING &amp; CANNING SUPPLY</x:v>
      </x:c>
      <x:c r="C126" s="26" t="n">
        <x:v>1</x:v>
      </x:c>
      <x:c r="D126" s="26" t="n">
        <x:v>9</x:v>
      </x:c>
      <x:c r="E126" s="26" t="n">
        <x:v>9</x:v>
      </x:c>
      <x:c r="F126" s="26" t="n">
        <x:v>0</x:v>
      </x:c>
      <x:c r="G126" s="26"/>
      <x:c r="H126" s="26"/>
      <x:c r="I126" s="26"/>
      <x:c r="J126" s="26" t="n">
        <x:v>0</x:v>
      </x:c>
      <x:c r="K126" s="26"/>
      <x:c r="L126" s="26"/>
      <x:c r="M126" s="26"/>
      <x:c r="N126" s="26" t="n">
        <x:v>0</x:v>
      </x:c>
      <x:c r="O126" s="26" t="n">
        <x:v>0</x:v>
      </x:c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  <x:c r="AA126" s="26"/>
      <x:c r="AB126" s="26"/>
      <x:c r="AC126" s="39" t="b">
        <x:v>0</x:v>
      </x:c>
      <x:c r="AD126" s="39" t="b">
        <x:v>0</x:v>
      </x:c>
      <x:c r="AE126" s="39" t="b">
        <x:v>0</x:v>
      </x:c>
      <x:c r="AF126" s="26" t="n">
        <x:v>0</x:v>
      </x:c>
      <x:c r="AG126" s="26" t="n">
        <x:v>0</x:v>
      </x:c>
      <x:c r="AH126" s="26" t="n">
        <x:v>9</x:v>
      </x:c>
      <x:c r="AI126" s="26"/>
      <x:c r="AJ126" s="26" t="str">
        <x:v>비교 자료 부족</x:v>
      </x:c>
      <x:c r="AK126" s="27" t="str">
        <x:v>진열만·전단만 중 하나와 비교할 자료가 없음</x:v>
      </x:c>
    </x:row>
    <x:row r="127">
      <x:c r="A127" s="25" t="str">
        <x:v>DRUG GM</x:v>
      </x:c>
      <x:c r="B127" s="26" t="str">
        <x:v>INFANT FORMULA</x:v>
      </x:c>
      <x:c r="C127" s="26" t="n">
        <x:v>14</x:v>
      </x:c>
      <x:c r="D127" s="26" t="n">
        <x:v>22</x:v>
      </x:c>
      <x:c r="E127" s="26" t="n">
        <x:v>22</x:v>
      </x:c>
      <x:c r="F127" s="26" t="n">
        <x:v>0</x:v>
      </x:c>
      <x:c r="G127" s="26" t="n">
        <x:v>0</x:v>
      </x:c>
      <x:c r="H127" s="26" t="n">
        <x:v>0</x:v>
      </x:c>
      <x:c r="I127" s="26" t="n">
        <x:v>0.5</x:v>
      </x:c>
      <x:c r="J127" s="26" t="n">
        <x:v>0</x:v>
      </x:c>
      <x:c r="K127" s="26" t="n">
        <x:v>0</x:v>
      </x:c>
      <x:c r="L127" s="26" t="n">
        <x:v>0</x:v>
      </x:c>
      <x:c r="M127" s="26" t="n">
        <x:v>0.5</x:v>
      </x:c>
      <x:c r="N127" s="26" t="n">
        <x:v>0</x:v>
      </x:c>
      <x:c r="O127" s="26" t="n">
        <x:v>0</x:v>
      </x:c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  <x:c r="AA127" s="26"/>
      <x:c r="AB127" s="26"/>
      <x:c r="AC127" s="39" t="b">
        <x:v>0</x:v>
      </x:c>
      <x:c r="AD127" s="39" t="b">
        <x:v>0</x:v>
      </x:c>
      <x:c r="AE127" s="39" t="b">
        <x:v>0</x:v>
      </x:c>
      <x:c r="AF127" s="26" t="n">
        <x:v>0</x:v>
      </x:c>
      <x:c r="AG127" s="26" t="n">
        <x:v>0</x:v>
      </x:c>
      <x:c r="AH127" s="26" t="n">
        <x:v>22</x:v>
      </x:c>
      <x:c r="AI127" s="26"/>
      <x:c r="AJ127" s="26" t="str">
        <x:v>비교 자료 부족</x:v>
      </x:c>
      <x:c r="AK127" s="27" t="str">
        <x:v>진열만·전단만 중 하나와 비교할 자료가 없음</x:v>
      </x:c>
    </x:row>
    <x:row r="128">
      <x:c r="A128" s="25" t="str">
        <x:v>DRUG GM</x:v>
      </x:c>
      <x:c r="B128" s="26" t="str">
        <x:v>PERSONAL CARE APPLIANCES</x:v>
      </x:c>
      <x:c r="C128" s="26" t="n">
        <x:v>1</x:v>
      </x:c>
      <x:c r="D128" s="26" t="n">
        <x:v>2</x:v>
      </x:c>
      <x:c r="E128" s="26" t="n">
        <x:v>2</x:v>
      </x:c>
      <x:c r="F128" s="26" t="n">
        <x:v>0</x:v>
      </x:c>
      <x:c r="G128" s="26"/>
      <x:c r="H128" s="26"/>
      <x:c r="I128" s="26"/>
      <x:c r="J128" s="26" t="n">
        <x:v>0</x:v>
      </x:c>
      <x:c r="K128" s="26"/>
      <x:c r="L128" s="26"/>
      <x:c r="M128" s="26"/>
      <x:c r="N128" s="26" t="n">
        <x:v>0</x:v>
      </x:c>
      <x:c r="O128" s="26" t="n">
        <x:v>0</x:v>
      </x:c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  <x:c r="AA128" s="26"/>
      <x:c r="AB128" s="26"/>
      <x:c r="AC128" s="39" t="b">
        <x:v>0</x:v>
      </x:c>
      <x:c r="AD128" s="39" t="b">
        <x:v>0</x:v>
      </x:c>
      <x:c r="AE128" s="39" t="b">
        <x:v>0</x:v>
      </x:c>
      <x:c r="AF128" s="26" t="n">
        <x:v>0</x:v>
      </x:c>
      <x:c r="AG128" s="26" t="n">
        <x:v>0</x:v>
      </x:c>
      <x:c r="AH128" s="26" t="n">
        <x:v>2</x:v>
      </x:c>
      <x:c r="AI128" s="26"/>
      <x:c r="AJ128" s="26" t="str">
        <x:v>비교 자료 부족</x:v>
      </x:c>
      <x:c r="AK128" s="27" t="str">
        <x:v>진열만·전단만 중 하나와 비교할 자료가 없음</x:v>
      </x:c>
    </x:row>
    <x:row r="129">
      <x:c r="A129" s="25" t="str">
        <x:v>DRUG GM</x:v>
      </x:c>
      <x:c r="B129" s="26" t="str">
        <x:v>SMOKING CESSATIONS</x:v>
      </x:c>
      <x:c r="C129" s="26" t="n">
        <x:v>1</x:v>
      </x:c>
      <x:c r="D129" s="26" t="n">
        <x:v>1</x:v>
      </x:c>
      <x:c r="E129" s="26" t="n">
        <x:v>1</x:v>
      </x:c>
      <x:c r="F129" s="26" t="n">
        <x:v>0</x:v>
      </x:c>
      <x:c r="G129" s="26"/>
      <x:c r="H129" s="26"/>
      <x:c r="I129" s="26"/>
      <x:c r="J129" s="26" t="n">
        <x:v>0</x:v>
      </x:c>
      <x:c r="K129" s="26"/>
      <x:c r="L129" s="26"/>
      <x:c r="M129" s="26"/>
      <x:c r="N129" s="26" t="n">
        <x:v>0</x:v>
      </x:c>
      <x:c r="O129" s="26" t="n">
        <x:v>0</x:v>
      </x:c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  <x:c r="AA129" s="26"/>
      <x:c r="AB129" s="26"/>
      <x:c r="AC129" s="39" t="b">
        <x:v>0</x:v>
      </x:c>
      <x:c r="AD129" s="39" t="b">
        <x:v>0</x:v>
      </x:c>
      <x:c r="AE129" s="39" t="b">
        <x:v>0</x:v>
      </x:c>
      <x:c r="AF129" s="26" t="n">
        <x:v>0</x:v>
      </x:c>
      <x:c r="AG129" s="26" t="n">
        <x:v>0</x:v>
      </x:c>
      <x:c r="AH129" s="26" t="n">
        <x:v>1</x:v>
      </x:c>
      <x:c r="AI129" s="26"/>
      <x:c r="AJ129" s="26" t="str">
        <x:v>비교 자료 부족</x:v>
      </x:c>
      <x:c r="AK129" s="27" t="str">
        <x:v>진열만·전단만 중 하나와 비교할 자료가 없음</x:v>
      </x:c>
    </x:row>
    <x:row r="130">
      <x:c r="A130" s="25" t="str">
        <x:v>DRUG GM</x:v>
      </x:c>
      <x:c r="B130" s="26" t="str">
        <x:v>TOBACCO OTHER</x:v>
      </x:c>
      <x:c r="C130" s="26" t="n">
        <x:v>1</x:v>
      </x:c>
      <x:c r="D130" s="26" t="n">
        <x:v>7</x:v>
      </x:c>
      <x:c r="E130" s="26" t="n">
        <x:v>7</x:v>
      </x:c>
      <x:c r="F130" s="26" t="n">
        <x:v>0</x:v>
      </x:c>
      <x:c r="G130" s="26"/>
      <x:c r="H130" s="26"/>
      <x:c r="I130" s="26"/>
      <x:c r="J130" s="26" t="n">
        <x:v>0</x:v>
      </x:c>
      <x:c r="K130" s="26"/>
      <x:c r="L130" s="26"/>
      <x:c r="M130" s="26"/>
      <x:c r="N130" s="26" t="n">
        <x:v>0</x:v>
      </x:c>
      <x:c r="O130" s="26" t="n">
        <x:v>0</x:v>
      </x:c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  <x:c r="AA130" s="26"/>
      <x:c r="AB130" s="26"/>
      <x:c r="AC130" s="39" t="b">
        <x:v>0</x:v>
      </x:c>
      <x:c r="AD130" s="39" t="b">
        <x:v>0</x:v>
      </x:c>
      <x:c r="AE130" s="39" t="b">
        <x:v>0</x:v>
      </x:c>
      <x:c r="AF130" s="26" t="n">
        <x:v>0</x:v>
      </x:c>
      <x:c r="AG130" s="26" t="n">
        <x:v>0</x:v>
      </x:c>
      <x:c r="AH130" s="26" t="n">
        <x:v>7</x:v>
      </x:c>
      <x:c r="AI130" s="26"/>
      <x:c r="AJ130" s="26" t="str">
        <x:v>비교 자료 부족</x:v>
      </x:c>
      <x:c r="AK130" s="27" t="str">
        <x:v>진열만·전단만 중 하나와 비교할 자료가 없음</x:v>
      </x:c>
    </x:row>
    <x:row r="131">
      <x:c r="A131" s="25" t="str">
        <x:v>FLORAL</x:v>
      </x:c>
      <x:c r="B131" s="26" t="str">
        <x:v>FLORAL- HARD GOODS</x:v>
      </x:c>
      <x:c r="C131" s="26" t="n">
        <x:v>1</x:v>
      </x:c>
      <x:c r="D131" s="26" t="n">
        <x:v>1</x:v>
      </x:c>
      <x:c r="E131" s="26" t="n">
        <x:v>1</x:v>
      </x:c>
      <x:c r="F131" s="26" t="n">
        <x:v>0</x:v>
      </x:c>
      <x:c r="G131" s="26"/>
      <x:c r="H131" s="26"/>
      <x:c r="I131" s="26"/>
      <x:c r="J131" s="26" t="n">
        <x:v>0</x:v>
      </x:c>
      <x:c r="K131" s="26"/>
      <x:c r="L131" s="26"/>
      <x:c r="M131" s="26"/>
      <x:c r="N131" s="26" t="n">
        <x:v>0</x:v>
      </x:c>
      <x:c r="O131" s="26" t="n">
        <x:v>0</x:v>
      </x:c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  <x:c r="AA131" s="26"/>
      <x:c r="AB131" s="26"/>
      <x:c r="AC131" s="39" t="b">
        <x:v>0</x:v>
      </x:c>
      <x:c r="AD131" s="39" t="b">
        <x:v>0</x:v>
      </x:c>
      <x:c r="AE131" s="39" t="b">
        <x:v>0</x:v>
      </x:c>
      <x:c r="AF131" s="26" t="n">
        <x:v>0</x:v>
      </x:c>
      <x:c r="AG131" s="26" t="n">
        <x:v>0</x:v>
      </x:c>
      <x:c r="AH131" s="26" t="n">
        <x:v>1</x:v>
      </x:c>
      <x:c r="AI131" s="26"/>
      <x:c r="AJ131" s="26" t="str">
        <x:v>비교 자료 부족</x:v>
      </x:c>
      <x:c r="AK131" s="27" t="str">
        <x:v>진열만·전단만 중 하나와 비교할 자료가 없음</x:v>
      </x:c>
    </x:row>
    <x:row r="132">
      <x:c r="A132" s="25" t="str">
        <x:v>FLORAL</x:v>
      </x:c>
      <x:c r="B132" s="26" t="str">
        <x:v>FLORAL-FOLIAGE PLANTS</x:v>
      </x:c>
      <x:c r="C132" s="26" t="n">
        <x:v>3</x:v>
      </x:c>
      <x:c r="D132" s="26" t="n">
        <x:v>5</x:v>
      </x:c>
      <x:c r="E132" s="26" t="n">
        <x:v>5</x:v>
      </x:c>
      <x:c r="F132" s="26" t="n">
        <x:v>0</x:v>
      </x:c>
      <x:c r="G132" s="26" t="n">
        <x:v>0</x:v>
      </x:c>
      <x:c r="H132" s="26" t="n">
        <x:v>0</x:v>
      </x:c>
      <x:c r="I132" s="26" t="n">
        <x:v>0.5</x:v>
      </x:c>
      <x:c r="J132" s="26" t="n">
        <x:v>0</x:v>
      </x:c>
      <x:c r="K132" s="26" t="n">
        <x:v>0</x:v>
      </x:c>
      <x:c r="L132" s="26" t="n">
        <x:v>0</x:v>
      </x:c>
      <x:c r="M132" s="26" t="n">
        <x:v>0.5</x:v>
      </x:c>
      <x:c r="N132" s="26" t="n">
        <x:v>0</x:v>
      </x:c>
      <x:c r="O132" s="26" t="n">
        <x:v>0</x:v>
      </x:c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  <x:c r="AA132" s="26"/>
      <x:c r="AB132" s="26"/>
      <x:c r="AC132" s="39" t="b">
        <x:v>0</x:v>
      </x:c>
      <x:c r="AD132" s="39" t="b">
        <x:v>0</x:v>
      </x:c>
      <x:c r="AE132" s="39" t="b">
        <x:v>0</x:v>
      </x:c>
      <x:c r="AF132" s="26" t="n">
        <x:v>0</x:v>
      </x:c>
      <x:c r="AG132" s="26" t="n">
        <x:v>0</x:v>
      </x:c>
      <x:c r="AH132" s="26" t="n">
        <x:v>5</x:v>
      </x:c>
      <x:c r="AI132" s="26"/>
      <x:c r="AJ132" s="26" t="str">
        <x:v>비교 자료 부족</x:v>
      </x:c>
      <x:c r="AK132" s="27" t="str">
        <x:v>진열만·전단만 중 하나와 비교할 자료가 없음</x:v>
      </x:c>
    </x:row>
    <x:row r="133">
      <x:c r="A133" s="25" t="str">
        <x:v>FLORAL</x:v>
      </x:c>
      <x:c r="B133" s="26" t="str">
        <x:v>GIFT &amp; FRUIT BASKETS</x:v>
      </x:c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 t="n">
        <x:v>1</x:v>
      </x:c>
      <x:c r="Q133" s="26" t="n">
        <x:v>3</x:v>
      </x:c>
      <x:c r="R133" s="26" t="n">
        <x:v>3</x:v>
      </x:c>
      <x:c r="S133" s="26" t="n">
        <x:v>0</x:v>
      </x:c>
      <x:c r="T133" s="26"/>
      <x:c r="U133" s="26"/>
      <x:c r="V133" s="26"/>
      <x:c r="W133" s="26" t="n">
        <x:v>0</x:v>
      </x:c>
      <x:c r="X133" s="26"/>
      <x:c r="Y133" s="26"/>
      <x:c r="Z133" s="26"/>
      <x:c r="AA133" s="26" t="n">
        <x:v>0</x:v>
      </x:c>
      <x:c r="AB133" s="26" t="n">
        <x:v>0</x:v>
      </x:c>
      <x:c r="AC133" s="39" t="b">
        <x:v>0</x:v>
      </x:c>
      <x:c r="AD133" s="39" t="b">
        <x:v>0</x:v>
      </x:c>
      <x:c r="AE133" s="39" t="b">
        <x:v>0</x:v>
      </x:c>
      <x:c r="AF133" s="26" t="n">
        <x:v>0</x:v>
      </x:c>
      <x:c r="AG133" s="26" t="n">
        <x:v>0</x:v>
      </x:c>
      <x:c r="AH133" s="26" t="n">
        <x:v>3</x:v>
      </x:c>
      <x:c r="AI133" s="26"/>
      <x:c r="AJ133" s="26" t="str">
        <x:v>비교 자료 부족</x:v>
      </x:c>
      <x:c r="AK133" s="27" t="str">
        <x:v>진열만·전단만 중 하나와 비교할 자료가 없음</x:v>
      </x:c>
    </x:row>
    <x:row r="134">
      <x:c r="A134" s="25" t="str">
        <x:v>GARDEN CENTER</x:v>
      </x:c>
      <x:c r="B134" s="26" t="str">
        <x:v>UNKNOWN</x:v>
      </x:c>
      <x:c r="C134" s="26" t="n">
        <x:v>1</x:v>
      </x:c>
      <x:c r="D134" s="26" t="n">
        <x:v>2</x:v>
      </x:c>
      <x:c r="E134" s="26" t="n">
        <x:v>2</x:v>
      </x:c>
      <x:c r="F134" s="26" t="n">
        <x:v>0</x:v>
      </x:c>
      <x:c r="G134" s="26"/>
      <x:c r="H134" s="26"/>
      <x:c r="I134" s="26"/>
      <x:c r="J134" s="26" t="n">
        <x:v>0</x:v>
      </x:c>
      <x:c r="K134" s="26"/>
      <x:c r="L134" s="26"/>
      <x:c r="M134" s="26"/>
      <x:c r="N134" s="26" t="n">
        <x:v>0</x:v>
      </x:c>
      <x:c r="O134" s="26" t="n">
        <x:v>0</x:v>
      </x:c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  <x:c r="AA134" s="26"/>
      <x:c r="AB134" s="26"/>
      <x:c r="AC134" s="39" t="b">
        <x:v>0</x:v>
      </x:c>
      <x:c r="AD134" s="39" t="b">
        <x:v>0</x:v>
      </x:c>
      <x:c r="AE134" s="39" t="b">
        <x:v>0</x:v>
      </x:c>
      <x:c r="AF134" s="26" t="n">
        <x:v>0</x:v>
      </x:c>
      <x:c r="AG134" s="26" t="n">
        <x:v>0</x:v>
      </x:c>
      <x:c r="AH134" s="26" t="n">
        <x:v>2</x:v>
      </x:c>
      <x:c r="AI134" s="26"/>
      <x:c r="AJ134" s="26" t="str">
        <x:v>비교 자료 부족</x:v>
      </x:c>
      <x:c r="AK134" s="27" t="str">
        <x:v>진열만·전단만 중 하나와 비교할 자료가 없음</x:v>
      </x:c>
    </x:row>
    <x:row r="135">
      <x:c r="A135" s="25" t="str">
        <x:v>GROCERY</x:v>
      </x:c>
      <x:c r="B135" s="26" t="str">
        <x:v>BIRD SEED</x:v>
      </x:c>
      <x:c r="C135" s="26" t="n">
        <x:v>7</x:v>
      </x:c>
      <x:c r="D135" s="26" t="n">
        <x:v>9</x:v>
      </x:c>
      <x:c r="E135" s="26" t="n">
        <x:v>9</x:v>
      </x:c>
      <x:c r="F135" s="26" t="n">
        <x:v>0</x:v>
      </x:c>
      <x:c r="G135" s="26" t="n">
        <x:v>0</x:v>
      </x:c>
      <x:c r="H135" s="26" t="n">
        <x:v>0</x:v>
      </x:c>
      <x:c r="I135" s="26" t="n">
        <x:v>0.5</x:v>
      </x:c>
      <x:c r="J135" s="26" t="n">
        <x:v>0</x:v>
      </x:c>
      <x:c r="K135" s="26" t="n">
        <x:v>0</x:v>
      </x:c>
      <x:c r="L135" s="26" t="n">
        <x:v>0</x:v>
      </x:c>
      <x:c r="M135" s="26" t="n">
        <x:v>0.5</x:v>
      </x:c>
      <x:c r="N135" s="26" t="n">
        <x:v>0</x:v>
      </x:c>
      <x:c r="O135" s="26" t="n">
        <x:v>0</x:v>
      </x:c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  <x:c r="AA135" s="26"/>
      <x:c r="AB135" s="26"/>
      <x:c r="AC135" s="39" t="b">
        <x:v>0</x:v>
      </x:c>
      <x:c r="AD135" s="39" t="b">
        <x:v>0</x:v>
      </x:c>
      <x:c r="AE135" s="39" t="b">
        <x:v>0</x:v>
      </x:c>
      <x:c r="AF135" s="26" t="n">
        <x:v>0</x:v>
      </x:c>
      <x:c r="AG135" s="26" t="n">
        <x:v>0</x:v>
      </x:c>
      <x:c r="AH135" s="26" t="n">
        <x:v>9</x:v>
      </x:c>
      <x:c r="AI135" s="26"/>
      <x:c r="AJ135" s="26" t="str">
        <x:v>비교 자료 부족</x:v>
      </x:c>
      <x:c r="AK135" s="27" t="str">
        <x:v>진열만·전단만 중 하나와 비교할 자료가 없음</x:v>
      </x:c>
    </x:row>
    <x:row r="136">
      <x:c r="A136" s="25" t="str">
        <x:v>MISC SALES TRAN</x:v>
      </x:c>
      <x:c r="B136" s="26" t="str">
        <x:v>COUPON/MISC ITEMS</x:v>
      </x:c>
      <x:c r="C136" s="26" t="n">
        <x:v>2</x:v>
      </x:c>
      <x:c r="D136" s="26" t="n">
        <x:v>2</x:v>
      </x:c>
      <x:c r="E136" s="26" t="n">
        <x:v>2</x:v>
      </x:c>
      <x:c r="F136" s="26" t="n">
        <x:v>0</x:v>
      </x:c>
      <x:c r="G136" s="26" t="n">
        <x:v>0</x:v>
      </x:c>
      <x:c r="H136" s="26" t="n">
        <x:v>0</x:v>
      </x:c>
      <x:c r="I136" s="26" t="n">
        <x:v>0.5</x:v>
      </x:c>
      <x:c r="J136" s="26" t="n">
        <x:v>0</x:v>
      </x:c>
      <x:c r="K136" s="26" t="n">
        <x:v>0</x:v>
      </x:c>
      <x:c r="L136" s="26" t="n">
        <x:v>0</x:v>
      </x:c>
      <x:c r="M136" s="26" t="n">
        <x:v>0.5</x:v>
      </x:c>
      <x:c r="N136" s="26" t="n">
        <x:v>0</x:v>
      </x:c>
      <x:c r="O136" s="26" t="n">
        <x:v>0</x:v>
      </x:c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  <x:c r="AA136" s="26"/>
      <x:c r="AB136" s="26"/>
      <x:c r="AC136" s="39" t="b">
        <x:v>0</x:v>
      </x:c>
      <x:c r="AD136" s="39" t="b">
        <x:v>0</x:v>
      </x:c>
      <x:c r="AE136" s="39" t="b">
        <x:v>0</x:v>
      </x:c>
      <x:c r="AF136" s="26" t="n">
        <x:v>0</x:v>
      </x:c>
      <x:c r="AG136" s="26" t="n">
        <x:v>0</x:v>
      </x:c>
      <x:c r="AH136" s="26" t="n">
        <x:v>2</x:v>
      </x:c>
      <x:c r="AI136" s="26"/>
      <x:c r="AJ136" s="26" t="str">
        <x:v>비교 자료 부족</x:v>
      </x:c>
      <x:c r="AK136" s="27" t="str">
        <x:v>진열만·전단만 중 하나와 비교할 자료가 없음</x:v>
      </x:c>
    </x:row>
    <x:row r="137">
      <x:c r="A137" s="25" t="str">
        <x:v>NUTRITION</x:v>
      </x:c>
      <x:c r="B137" s="26" t="str">
        <x:v>BABYFOOD</x:v>
      </x:c>
      <x:c r="C137" s="26" t="n">
        <x:v>1</x:v>
      </x:c>
      <x:c r="D137" s="26" t="n">
        <x:v>3</x:v>
      </x:c>
      <x:c r="E137" s="26" t="n">
        <x:v>3</x:v>
      </x:c>
      <x:c r="F137" s="26" t="n">
        <x:v>0</x:v>
      </x:c>
      <x:c r="G137" s="26"/>
      <x:c r="H137" s="26"/>
      <x:c r="I137" s="26"/>
      <x:c r="J137" s="26" t="n">
        <x:v>0</x:v>
      </x:c>
      <x:c r="K137" s="26"/>
      <x:c r="L137" s="26"/>
      <x:c r="M137" s="26"/>
      <x:c r="N137" s="26" t="n">
        <x:v>0</x:v>
      </x:c>
      <x:c r="O137" s="26" t="n">
        <x:v>0</x:v>
      </x:c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  <x:c r="AA137" s="26"/>
      <x:c r="AB137" s="26"/>
      <x:c r="AC137" s="39" t="b">
        <x:v>0</x:v>
      </x:c>
      <x:c r="AD137" s="39" t="b">
        <x:v>0</x:v>
      </x:c>
      <x:c r="AE137" s="39" t="b">
        <x:v>0</x:v>
      </x:c>
      <x:c r="AF137" s="26" t="n">
        <x:v>0</x:v>
      </x:c>
      <x:c r="AG137" s="26" t="n">
        <x:v>0</x:v>
      </x:c>
      <x:c r="AH137" s="26" t="n">
        <x:v>3</x:v>
      </x:c>
      <x:c r="AI137" s="26"/>
      <x:c r="AJ137" s="26" t="str">
        <x:v>비교 자료 부족</x:v>
      </x:c>
      <x:c r="AK137" s="27" t="str">
        <x:v>진열만·전단만 중 하나와 비교할 자료가 없음</x:v>
      </x:c>
    </x:row>
    <x:row r="138">
      <x:c r="A138" s="25" t="str">
        <x:v>NUTRITION</x:v>
      </x:c>
      <x:c r="B138" s="26" t="str">
        <x:v>NDAIRY/TEAS/JUICE/SOD</x:v>
      </x:c>
      <x:c r="C138" s="26" t="n">
        <x:v>1</x:v>
      </x:c>
      <x:c r="D138" s="26" t="n">
        <x:v>3</x:v>
      </x:c>
      <x:c r="E138" s="26" t="n">
        <x:v>3</x:v>
      </x:c>
      <x:c r="F138" s="26" t="n">
        <x:v>0</x:v>
      </x:c>
      <x:c r="G138" s="26"/>
      <x:c r="H138" s="26"/>
      <x:c r="I138" s="26"/>
      <x:c r="J138" s="26" t="n">
        <x:v>0</x:v>
      </x:c>
      <x:c r="K138" s="26"/>
      <x:c r="L138" s="26"/>
      <x:c r="M138" s="26"/>
      <x:c r="N138" s="26" t="n">
        <x:v>0</x:v>
      </x:c>
      <x:c r="O138" s="26" t="n">
        <x:v>0</x:v>
      </x:c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  <x:c r="AA138" s="26"/>
      <x:c r="AB138" s="26"/>
      <x:c r="AC138" s="39" t="b">
        <x:v>0</x:v>
      </x:c>
      <x:c r="AD138" s="39" t="b">
        <x:v>0</x:v>
      </x:c>
      <x:c r="AE138" s="39" t="b">
        <x:v>0</x:v>
      </x:c>
      <x:c r="AF138" s="26" t="n">
        <x:v>0</x:v>
      </x:c>
      <x:c r="AG138" s="26" t="n">
        <x:v>0</x:v>
      </x:c>
      <x:c r="AH138" s="26" t="n">
        <x:v>3</x:v>
      </x:c>
      <x:c r="AI138" s="26"/>
      <x:c r="AJ138" s="26" t="str">
        <x:v>비교 자료 부족</x:v>
      </x:c>
      <x:c r="AK138" s="27" t="str">
        <x:v>진열만·전단만 중 하나와 비교할 자료가 없음</x:v>
      </x:c>
    </x:row>
    <x:row r="139">
      <x:c r="A139" s="25" t="str">
        <x:v>NUTRITION</x:v>
      </x:c>
      <x:c r="B139" s="26" t="str">
        <x:v>NON EDIBLE PRODUCTS</x:v>
      </x:c>
      <x:c r="C139" s="26" t="n">
        <x:v>19</x:v>
      </x:c>
      <x:c r="D139" s="26" t="n">
        <x:v>145</x:v>
      </x:c>
      <x:c r="E139" s="26" t="n">
        <x:v>156</x:v>
      </x:c>
      <x:c r="F139" s="26" t="n">
        <x:v>0</x:v>
      </x:c>
      <x:c r="G139" s="26" t="n">
        <x:v>0</x:v>
      </x:c>
      <x:c r="H139" s="26" t="n">
        <x:v>0</x:v>
      </x:c>
      <x:c r="I139" s="26" t="n">
        <x:v>0.5</x:v>
      </x:c>
      <x:c r="J139" s="26" t="n">
        <x:v>0</x:v>
      </x:c>
      <x:c r="K139" s="26" t="n">
        <x:v>0</x:v>
      </x:c>
      <x:c r="L139" s="26" t="n">
        <x:v>0</x:v>
      </x:c>
      <x:c r="M139" s="26" t="n">
        <x:v>0.5</x:v>
      </x:c>
      <x:c r="N139" s="26" t="n">
        <x:v>0</x:v>
      </x:c>
      <x:c r="O139" s="26" t="n">
        <x:v>0</x:v>
      </x:c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  <x:c r="AA139" s="26"/>
      <x:c r="AB139" s="26"/>
      <x:c r="AC139" s="39" t="b">
        <x:v>0</x:v>
      </x:c>
      <x:c r="AD139" s="39" t="b">
        <x:v>0</x:v>
      </x:c>
      <x:c r="AE139" s="39" t="b">
        <x:v>0</x:v>
      </x:c>
      <x:c r="AF139" s="26" t="n">
        <x:v>0</x:v>
      </x:c>
      <x:c r="AG139" s="26" t="n">
        <x:v>0</x:v>
      </x:c>
      <x:c r="AH139" s="26" t="n">
        <x:v>156</x:v>
      </x:c>
      <x:c r="AI139" s="26"/>
      <x:c r="AJ139" s="26" t="str">
        <x:v>비교 자료 부족</x:v>
      </x:c>
      <x:c r="AK139" s="27" t="str">
        <x:v>진열만·전단만 중 하나와 비교할 자료가 없음</x:v>
      </x:c>
    </x:row>
    <x:row r="140">
      <x:c r="A140" s="25" t="str">
        <x:v>NUTRITION</x:v>
      </x:c>
      <x:c r="B140" s="26" t="str">
        <x:v>PREPARED/PKGD FOODS</x:v>
      </x:c>
      <x:c r="C140" s="26" t="n">
        <x:v>13</x:v>
      </x:c>
      <x:c r="D140" s="26" t="n">
        <x:v>22</x:v>
      </x:c>
      <x:c r="E140" s="26" t="n">
        <x:v>22</x:v>
      </x:c>
      <x:c r="F140" s="26" t="n">
        <x:v>0</x:v>
      </x:c>
      <x:c r="G140" s="26" t="n">
        <x:v>0</x:v>
      </x:c>
      <x:c r="H140" s="26" t="n">
        <x:v>0</x:v>
      </x:c>
      <x:c r="I140" s="26" t="n">
        <x:v>0.5</x:v>
      </x:c>
      <x:c r="J140" s="26" t="n">
        <x:v>0</x:v>
      </x:c>
      <x:c r="K140" s="26" t="n">
        <x:v>0</x:v>
      </x:c>
      <x:c r="L140" s="26" t="n">
        <x:v>0</x:v>
      </x:c>
      <x:c r="M140" s="26" t="n">
        <x:v>0.5</x:v>
      </x:c>
      <x:c r="N140" s="26" t="n">
        <x:v>0</x:v>
      </x:c>
      <x:c r="O140" s="26" t="n">
        <x:v>0</x:v>
      </x:c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  <x:c r="AA140" s="26"/>
      <x:c r="AB140" s="26"/>
      <x:c r="AC140" s="39" t="b">
        <x:v>0</x:v>
      </x:c>
      <x:c r="AD140" s="39" t="b">
        <x:v>0</x:v>
      </x:c>
      <x:c r="AE140" s="39" t="b">
        <x:v>0</x:v>
      </x:c>
      <x:c r="AF140" s="26" t="n">
        <x:v>0</x:v>
      </x:c>
      <x:c r="AG140" s="26" t="n">
        <x:v>0</x:v>
      </x:c>
      <x:c r="AH140" s="26" t="n">
        <x:v>22</x:v>
      </x:c>
      <x:c r="AI140" s="26"/>
      <x:c r="AJ140" s="26" t="str">
        <x:v>비교 자료 부족</x:v>
      </x:c>
      <x:c r="AK140" s="27" t="str">
        <x:v>진열만·전단만 중 하나와 비교할 자료가 없음</x:v>
      </x:c>
    </x:row>
    <x:row r="141">
      <x:c r="A141" s="25" t="str">
        <x:v>PHOTO</x:v>
      </x:c>
      <x:c r="B141" s="26" t="str">
        <x:v>REFRGRATD DOUGH PRODUCTS</x:v>
      </x:c>
      <x:c r="C141" s="26" t="n">
        <x:v>1</x:v>
      </x:c>
      <x:c r="D141" s="26" t="n">
        <x:v>4</x:v>
      </x:c>
      <x:c r="E141" s="26" t="n">
        <x:v>4</x:v>
      </x:c>
      <x:c r="F141" s="26" t="n">
        <x:v>0</x:v>
      </x:c>
      <x:c r="G141" s="26"/>
      <x:c r="H141" s="26"/>
      <x:c r="I141" s="26"/>
      <x:c r="J141" s="26" t="n">
        <x:v>0</x:v>
      </x:c>
      <x:c r="K141" s="26"/>
      <x:c r="L141" s="26"/>
      <x:c r="M141" s="26"/>
      <x:c r="N141" s="26" t="n">
        <x:v>0</x:v>
      </x:c>
      <x:c r="O141" s="26" t="n">
        <x:v>0</x:v>
      </x:c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  <x:c r="AA141" s="26"/>
      <x:c r="AB141" s="26"/>
      <x:c r="AC141" s="39" t="b">
        <x:v>0</x:v>
      </x:c>
      <x:c r="AD141" s="39" t="b">
        <x:v>0</x:v>
      </x:c>
      <x:c r="AE141" s="39" t="b">
        <x:v>0</x:v>
      </x:c>
      <x:c r="AF141" s="26" t="n">
        <x:v>0</x:v>
      </x:c>
      <x:c r="AG141" s="26" t="n">
        <x:v>0</x:v>
      </x:c>
      <x:c r="AH141" s="26" t="n">
        <x:v>4</x:v>
      </x:c>
      <x:c r="AI141" s="26"/>
      <x:c r="AJ141" s="26" t="str">
        <x:v>비교 자료 부족</x:v>
      </x:c>
      <x:c r="AK141" s="27" t="str">
        <x:v>진열만·전단만 중 하나와 비교할 자료가 없음</x:v>
      </x:c>
    </x:row>
    <x:row r="142">
      <x:c r="A142" s="25" t="str">
        <x:v>PRODUCE</x:v>
      </x:c>
      <x:c r="B142" s="26" t="str">
        <x:v>PEPPERS-ALL</x:v>
      </x:c>
      <x:c r="C142" s="26" t="n">
        <x:v>4</x:v>
      </x:c>
      <x:c r="D142" s="26" t="n">
        <x:v>4</x:v>
      </x:c>
      <x:c r="E142" s="26" t="n">
        <x:v>4</x:v>
      </x:c>
      <x:c r="F142" s="26" t="n">
        <x:v>0</x:v>
      </x:c>
      <x:c r="G142" s="26" t="n">
        <x:v>0</x:v>
      </x:c>
      <x:c r="H142" s="26" t="n">
        <x:v>0</x:v>
      </x:c>
      <x:c r="I142" s="26" t="n">
        <x:v>0.5</x:v>
      </x:c>
      <x:c r="J142" s="26" t="n">
        <x:v>0</x:v>
      </x:c>
      <x:c r="K142" s="26" t="n">
        <x:v>0</x:v>
      </x:c>
      <x:c r="L142" s="26" t="n">
        <x:v>0</x:v>
      </x:c>
      <x:c r="M142" s="26" t="n">
        <x:v>0.5</x:v>
      </x:c>
      <x:c r="N142" s="26" t="n">
        <x:v>0</x:v>
      </x:c>
      <x:c r="O142" s="26" t="n">
        <x:v>0</x:v>
      </x:c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  <x:c r="AA142" s="26"/>
      <x:c r="AB142" s="26"/>
      <x:c r="AC142" s="39" t="b">
        <x:v>0</x:v>
      </x:c>
      <x:c r="AD142" s="39" t="b">
        <x:v>0</x:v>
      </x:c>
      <x:c r="AE142" s="39" t="b">
        <x:v>0</x:v>
      </x:c>
      <x:c r="AF142" s="26" t="n">
        <x:v>0</x:v>
      </x:c>
      <x:c r="AG142" s="26" t="n">
        <x:v>0</x:v>
      </x:c>
      <x:c r="AH142" s="26" t="n">
        <x:v>4</x:v>
      </x:c>
      <x:c r="AI142" s="26"/>
      <x:c r="AJ142" s="26" t="str">
        <x:v>비교 자료 부족</x:v>
      </x:c>
      <x:c r="AK142" s="27" t="str">
        <x:v>진열만·전단만 중 하나와 비교할 자료가 없음</x:v>
      </x:c>
    </x:row>
    <x:row r="143">
      <x:c r="A143" s="25" t="str">
        <x:v>PRODUCE</x:v>
      </x:c>
      <x:c r="B143" s="26" t="str">
        <x:v>SEASONAL</x:v>
      </x:c>
      <x:c r="C143" s="26" t="n">
        <x:v>3</x:v>
      </x:c>
      <x:c r="D143" s="26" t="n">
        <x:v>3</x:v>
      </x:c>
      <x:c r="E143" s="26" t="n">
        <x:v>3</x:v>
      </x:c>
      <x:c r="F143" s="26" t="n">
        <x:v>0</x:v>
      </x:c>
      <x:c r="G143" s="26" t="n">
        <x:v>0</x:v>
      </x:c>
      <x:c r="H143" s="26" t="n">
        <x:v>0</x:v>
      </x:c>
      <x:c r="I143" s="26" t="n">
        <x:v>0.5</x:v>
      </x:c>
      <x:c r="J143" s="26" t="n">
        <x:v>0</x:v>
      </x:c>
      <x:c r="K143" s="26" t="n">
        <x:v>0</x:v>
      </x:c>
      <x:c r="L143" s="26" t="n">
        <x:v>0</x:v>
      </x:c>
      <x:c r="M143" s="26" t="n">
        <x:v>0.5</x:v>
      </x:c>
      <x:c r="N143" s="26" t="n">
        <x:v>0</x:v>
      </x:c>
      <x:c r="O143" s="26" t="n">
        <x:v>0</x:v>
      </x:c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  <x:c r="AA143" s="26"/>
      <x:c r="AB143" s="26"/>
      <x:c r="AC143" s="39" t="b">
        <x:v>0</x:v>
      </x:c>
      <x:c r="AD143" s="39" t="b">
        <x:v>0</x:v>
      </x:c>
      <x:c r="AE143" s="39" t="b">
        <x:v>0</x:v>
      </x:c>
      <x:c r="AF143" s="26" t="n">
        <x:v>0</x:v>
      </x:c>
      <x:c r="AG143" s="26" t="n">
        <x:v>0</x:v>
      </x:c>
      <x:c r="AH143" s="26" t="n">
        <x:v>3</x:v>
      </x:c>
      <x:c r="AI143" s="26"/>
      <x:c r="AJ143" s="26" t="str">
        <x:v>비교 자료 부족</x:v>
      </x:c>
      <x:c r="AK143" s="27" t="str">
        <x:v>진열만·전단만 중 하나와 비교할 자료가 없음</x:v>
      </x:c>
    </x:row>
    <x:row r="144">
      <x:c r="A144" s="25" t="str">
        <x:v>PRODUCE</x:v>
      </x:c>
      <x:c r="B144" s="26" t="str">
        <x:v>TROPICAL FRUIT</x:v>
      </x:c>
      <x:c r="C144" s="26" t="n">
        <x:v>1</x:v>
      </x:c>
      <x:c r="D144" s="26" t="n">
        <x:v>1</x:v>
      </x:c>
      <x:c r="E144" s="26" t="n">
        <x:v>1</x:v>
      </x:c>
      <x:c r="F144" s="26" t="n">
        <x:v>0</x:v>
      </x:c>
      <x:c r="G144" s="26"/>
      <x:c r="H144" s="26"/>
      <x:c r="I144" s="26"/>
      <x:c r="J144" s="26" t="n">
        <x:v>0</x:v>
      </x:c>
      <x:c r="K144" s="26"/>
      <x:c r="L144" s="26"/>
      <x:c r="M144" s="26"/>
      <x:c r="N144" s="26" t="n">
        <x:v>0</x:v>
      </x:c>
      <x:c r="O144" s="26" t="n">
        <x:v>0</x:v>
      </x:c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  <x:c r="AA144" s="26"/>
      <x:c r="AB144" s="26"/>
      <x:c r="AC144" s="39" t="b">
        <x:v>0</x:v>
      </x:c>
      <x:c r="AD144" s="39" t="b">
        <x:v>0</x:v>
      </x:c>
      <x:c r="AE144" s="39" t="b">
        <x:v>0</x:v>
      </x:c>
      <x:c r="AF144" s="26" t="n">
        <x:v>0</x:v>
      </x:c>
      <x:c r="AG144" s="26" t="n">
        <x:v>0</x:v>
      </x:c>
      <x:c r="AH144" s="26" t="n">
        <x:v>1</x:v>
      </x:c>
      <x:c r="AI144" s="26"/>
      <x:c r="AJ144" s="26" t="str">
        <x:v>비교 자료 부족</x:v>
      </x:c>
      <x:c r="AK144" s="27" t="str">
        <x:v>진열만·전단만 중 하나와 비교할 자료가 없음</x:v>
      </x:c>
    </x:row>
    <x:row r="145">
      <x:c r="A145" s="25" t="str">
        <x:v>SEAFOOD</x:v>
      </x:c>
      <x:c r="B145" s="26" t="str">
        <x:v>SEAFOOD-FRESH</x:v>
      </x:c>
      <x:c r="C145" s="26" t="n">
        <x:v>1</x:v>
      </x:c>
      <x:c r="D145" s="26" t="n">
        <x:v>1</x:v>
      </x:c>
      <x:c r="E145" s="26" t="n">
        <x:v>1</x:v>
      </x:c>
      <x:c r="F145" s="26" t="n">
        <x:v>0</x:v>
      </x:c>
      <x:c r="G145" s="26"/>
      <x:c r="H145" s="26"/>
      <x:c r="I145" s="26"/>
      <x:c r="J145" s="26" t="n">
        <x:v>0</x:v>
      </x:c>
      <x:c r="K145" s="26"/>
      <x:c r="L145" s="26"/>
      <x:c r="M145" s="26"/>
      <x:c r="N145" s="26" t="n">
        <x:v>0</x:v>
      </x:c>
      <x:c r="O145" s="26" t="n">
        <x:v>0</x:v>
      </x:c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  <x:c r="AA145" s="26"/>
      <x:c r="AB145" s="26"/>
      <x:c r="AC145" s="39" t="b">
        <x:v>0</x:v>
      </x:c>
      <x:c r="AD145" s="39" t="b">
        <x:v>0</x:v>
      </x:c>
      <x:c r="AE145" s="39" t="b">
        <x:v>0</x:v>
      </x:c>
      <x:c r="AF145" s="26" t="n">
        <x:v>0</x:v>
      </x:c>
      <x:c r="AG145" s="26" t="n">
        <x:v>0</x:v>
      </x:c>
      <x:c r="AH145" s="26" t="n">
        <x:v>1</x:v>
      </x:c>
      <x:c r="AI145" s="26"/>
      <x:c r="AJ145" s="26" t="str">
        <x:v>비교 자료 부족</x:v>
      </x:c>
      <x:c r="AK145" s="27" t="str">
        <x:v>진열만·전단만 중 하나와 비교할 자료가 없음</x:v>
      </x:c>
    </x:row>
    <x:row r="146">
      <x:c r="A146" s="25" t="str">
        <x:v>DRUG GM</x:v>
      </x:c>
      <x:c r="B146" s="26" t="str">
        <x:v>FIRST AID PRODUCTS</x:v>
      </x:c>
      <x:c r="C146" s="26" t="n">
        <x:v>21</x:v>
      </x:c>
      <x:c r="D146" s="26" t="n">
        <x:v>312</x:v>
      </x:c>
      <x:c r="E146" s="26" t="n">
        <x:v>312</x:v>
      </x:c>
      <x:c r="F146" s="26" t="n">
        <x:v>-0.002551020408163262</x:v>
      </x:c>
      <x:c r="G146" s="26" t="n">
        <x:v>-0.006005486116971688</x:v>
      </x:c>
      <x:c r="H146" s="26" t="n">
        <x:v>0.0009034453006451643</x:v>
      </x:c>
      <x:c r="I146" s="26" t="n">
        <x:v>0.9261077937007259</x:v>
      </x:c>
      <x:c r="J146" s="26" t="n">
        <x:v>-0.003826530666666666</x:v>
      </x:c>
      <x:c r="K146" s="26" t="n">
        <x:v>-0.009008229308617973</x:v>
      </x:c>
      <x:c r="L146" s="26" t="n">
        <x:v>0.0013551679752846404</x:v>
      </x:c>
      <x:c r="M146" s="26" t="n">
        <x:v>0.9261077935035598</x:v>
      </x:c>
      <x:c r="N146" s="26" t="n">
        <x:v>0</x:v>
      </x:c>
      <x:c r="O146" s="26" t="n">
        <x:v>0</x:v>
      </x:c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  <x:c r="AA146" s="26"/>
      <x:c r="AB146" s="26"/>
      <x:c r="AC146" s="39" t="b">
        <x:v>0</x:v>
      </x:c>
      <x:c r="AD146" s="39" t="b">
        <x:v>0</x:v>
      </x:c>
      <x:c r="AE146" s="39" t="b">
        <x:v>0</x:v>
      </x:c>
      <x:c r="AF146" s="26" t="n">
        <x:v>-0.002551020408163262</x:v>
      </x:c>
      <x:c r="AG146" s="26" t="n">
        <x:v>-0.003826530666666666</x:v>
      </x:c>
      <x:c r="AH146" s="26" t="n">
        <x:v>312</x:v>
      </x:c>
      <x:c r="AI146" s="26"/>
      <x:c r="AJ146" s="26" t="str">
        <x:v>비교 자료 부족</x:v>
      </x:c>
      <x:c r="AK146" s="27" t="str">
        <x:v>진열만·전단만 중 하나와 비교할 자료가 없음</x:v>
      </x:c>
    </x:row>
    <x:row r="147">
      <x:c r="A147" s="25" t="str">
        <x:v>DRUG GM</x:v>
      </x:c>
      <x:c r="B147" s="26" t="str">
        <x:v>INFANT CARE PRODUCTS</x:v>
      </x:c>
      <x:c r="C147" s="26" t="n">
        <x:v>9</x:v>
      </x:c>
      <x:c r="D147" s="26" t="n">
        <x:v>126</x:v>
      </x:c>
      <x:c r="E147" s="26" t="n">
        <x:v>126</x:v>
      </x:c>
      <x:c r="F147" s="26" t="n">
        <x:v>-0.001282051282051289</x:v>
      </x:c>
      <x:c r="G147" s="26" t="n">
        <x:v>-0.015826051493249255</x:v>
      </x:c>
      <x:c r="H147" s="26" t="n">
        <x:v>0.013261948929146677</x:v>
      </x:c>
      <x:c r="I147" s="26" t="n">
        <x:v>0.5685853389069064</x:v>
      </x:c>
      <x:c r="J147" s="26" t="n">
        <x:v>-0.006884614444444443</x:v>
      </x:c>
      <x:c r="K147" s="26" t="n">
        <x:v>-0.05268562785783372</x:v>
      </x:c>
      <x:c r="L147" s="26" t="n">
        <x:v>0.03891639896894483</x:v>
      </x:c>
      <x:c r="M147" s="26" t="n">
        <x:v>0.6158574897103417</x:v>
      </x:c>
      <x:c r="N147" s="26" t="n">
        <x:v>0.1111111111111111</x:v>
      </x:c>
      <x:c r="O147" s="26" t="n">
        <x:v>0.1111111111111111</x:v>
      </x:c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  <x:c r="AA147" s="26"/>
      <x:c r="AB147" s="26"/>
      <x:c r="AC147" s="39" t="b">
        <x:v>0</x:v>
      </x:c>
      <x:c r="AD147" s="39" t="b">
        <x:v>0</x:v>
      </x:c>
      <x:c r="AE147" s="39" t="b">
        <x:v>0</x:v>
      </x:c>
      <x:c r="AF147" s="26" t="n">
        <x:v>-0.001282051282051289</x:v>
      </x:c>
      <x:c r="AG147" s="26" t="n">
        <x:v>-0.006884614444444443</x:v>
      </x:c>
      <x:c r="AH147" s="26" t="n">
        <x:v>126</x:v>
      </x:c>
      <x:c r="AI147" s="26"/>
      <x:c r="AJ147" s="26" t="str">
        <x:v>비교 자료 부족</x:v>
      </x:c>
      <x:c r="AK147" s="27" t="str">
        <x:v>진열만·전단만 중 하나와 비교할 자료가 없음</x:v>
      </x:c>
    </x:row>
    <x:row r="148">
      <x:c r="A148" s="25" t="str">
        <x:v>PRODUCE</x:v>
      </x:c>
      <x:c r="B148" s="26" t="str">
        <x:v>VEGETABLES - ALL OTHERS</x:v>
      </x:c>
      <x:c r="C148" s="26" t="n">
        <x:v>8</x:v>
      </x:c>
      <x:c r="D148" s="26" t="n">
        <x:v>22</x:v>
      </x:c>
      <x:c r="E148" s="26" t="n">
        <x:v>22</x:v>
      </x:c>
      <x:c r="F148" s="26" t="n">
        <x:v>0</x:v>
      </x:c>
      <x:c r="G148" s="26" t="n">
        <x:v>0</x:v>
      </x:c>
      <x:c r="H148" s="26" t="n">
        <x:v>0</x:v>
      </x:c>
      <x:c r="I148" s="26" t="n">
        <x:v>0.5</x:v>
      </x:c>
      <x:c r="J148" s="26" t="n">
        <x:v>-0.01000000075</x:v>
      </x:c>
      <x:c r="K148" s="26" t="n">
        <x:v>-0.029600002219999998</x:v>
      </x:c>
      <x:c r="L148" s="26" t="n">
        <x:v>0.009600000719999996</x:v>
      </x:c>
      <x:c r="M148" s="26" t="n">
        <x:v>0.841344746068543</x:v>
      </x:c>
      <x:c r="N148" s="26" t="n">
        <x:v>0</x:v>
      </x:c>
      <x:c r="O148" s="26" t="n">
        <x:v>0</x:v>
      </x:c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  <x:c r="AA148" s="26"/>
      <x:c r="AB148" s="26"/>
      <x:c r="AC148" s="39" t="b">
        <x:v>0</x:v>
      </x:c>
      <x:c r="AD148" s="39" t="b">
        <x:v>0</x:v>
      </x:c>
      <x:c r="AE148" s="39" t="b">
        <x:v>0</x:v>
      </x:c>
      <x:c r="AF148" s="26" t="n">
        <x:v>0</x:v>
      </x:c>
      <x:c r="AG148" s="26" t="n">
        <x:v>-0.01000000075</x:v>
      </x:c>
      <x:c r="AH148" s="26" t="n">
        <x:v>22</x:v>
      </x:c>
      <x:c r="AI148" s="26"/>
      <x:c r="AJ148" s="26" t="str">
        <x:v>비교 자료 부족</x:v>
      </x:c>
      <x:c r="AK148" s="27" t="str">
        <x:v>진열만·전단만 중 하나와 비교할 자료가 없음</x:v>
      </x:c>
    </x:row>
    <x:row r="149">
      <x:c r="A149" s="25" t="str">
        <x:v>GROCERY</x:v>
      </x:c>
      <x:c r="B149" s="26" t="str">
        <x:v>COCOA MIXES</x:v>
      </x:c>
      <x:c r="C149" s="26" t="n">
        <x:v>20</x:v>
      </x:c>
      <x:c r="D149" s="26" t="n">
        <x:v>487</x:v>
      </x:c>
      <x:c r="E149" s="26" t="n">
        <x:v>535</x:v>
      </x:c>
      <x:c r="F149" s="26" t="n">
        <x:v>-0.009364591650822074</x:v>
      </x:c>
      <x:c r="G149" s="26" t="n">
        <x:v>-0.01950899775072065</x:v>
      </x:c>
      <x:c r="H149" s="26" t="n">
        <x:v>0.0007798144490765019</x:v>
      </x:c>
      <x:c r="I149" s="26" t="n">
        <x:v>0.9648002878800509</x:v>
      </x:c>
      <x:c r="J149" s="26" t="n">
        <x:v>-0.0161460772</x:v>
      </x:c>
      <x:c r="K149" s="26" t="n">
        <x:v>-0.0327294953889543</x:v>
      </x:c>
      <x:c r="L149" s="26" t="n">
        <x:v>0.0004373409889542948</x:v>
      </x:c>
      <x:c r="M149" s="26" t="n">
        <x:v>0.9718244526457515</x:v>
      </x:c>
      <x:c r="N149" s="26" t="n">
        <x:v>0</x:v>
      </x:c>
      <x:c r="O149" s="26" t="n">
        <x:v>0</x:v>
      </x:c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  <x:c r="AA149" s="26"/>
      <x:c r="AB149" s="26"/>
      <x:c r="AC149" s="39" t="b">
        <x:v>0</x:v>
      </x:c>
      <x:c r="AD149" s="39" t="b">
        <x:v>0</x:v>
      </x:c>
      <x:c r="AE149" s="39" t="b">
        <x:v>0</x:v>
      </x:c>
      <x:c r="AF149" s="26" t="n">
        <x:v>-0.009364591650822074</x:v>
      </x:c>
      <x:c r="AG149" s="26" t="n">
        <x:v>-0.0161460772</x:v>
      </x:c>
      <x:c r="AH149" s="26" t="n">
        <x:v>535</x:v>
      </x:c>
      <x:c r="AI149" s="26"/>
      <x:c r="AJ149" s="26" t="str">
        <x:v>비교 자료 부족</x:v>
      </x:c>
      <x:c r="AK149" s="27" t="str">
        <x:v>진열만·전단만 중 하나와 비교할 자료가 없음</x:v>
      </x:c>
    </x:row>
    <x:row r="150">
      <x:c r="A150" s="25" t="str">
        <x:v>DRUG GM</x:v>
      </x:c>
      <x:c r="B150" s="26" t="str">
        <x:v>DOLLAR VALUE PRODUCTS</x:v>
      </x:c>
      <x:c r="C150" s="26" t="n">
        <x:v>9</x:v>
      </x:c>
      <x:c r="D150" s="26" t="n">
        <x:v>48</x:v>
      </x:c>
      <x:c r="E150" s="26" t="n">
        <x:v>48</x:v>
      </x:c>
      <x:c r="F150" s="26" t="n">
        <x:v>-0.013888888888888888</x:v>
      </x:c>
      <x:c r="G150" s="26" t="n">
        <x:v>-0.04111111111111111</x:v>
      </x:c>
      <x:c r="H150" s="26" t="n">
        <x:v>0.013333333333333332</x:v>
      </x:c>
      <x:c r="I150" s="26" t="n">
        <x:v>0.8413447460685429</x:v>
      </x:c>
      <x:c r="J150" s="26" t="n">
        <x:v>-0.027777777777777776</x:v>
      </x:c>
      <x:c r="K150" s="26" t="n">
        <x:v>-0.08222222222222222</x:v>
      </x:c>
      <x:c r="L150" s="26" t="n">
        <x:v>0.026666666666666665</x:v>
      </x:c>
      <x:c r="M150" s="26" t="n">
        <x:v>0.8413447460685429</x:v>
      </x:c>
      <x:c r="N150" s="26" t="n">
        <x:v>0</x:v>
      </x:c>
      <x:c r="O150" s="26" t="n">
        <x:v>0</x:v>
      </x:c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  <x:c r="AA150" s="26"/>
      <x:c r="AB150" s="26"/>
      <x:c r="AC150" s="39" t="b">
        <x:v>0</x:v>
      </x:c>
      <x:c r="AD150" s="39" t="b">
        <x:v>0</x:v>
      </x:c>
      <x:c r="AE150" s="39" t="b">
        <x:v>0</x:v>
      </x:c>
      <x:c r="AF150" s="26" t="n">
        <x:v>-0.013888888888888888</x:v>
      </x:c>
      <x:c r="AG150" s="26" t="n">
        <x:v>-0.027777777777777776</x:v>
      </x:c>
      <x:c r="AH150" s="26" t="n">
        <x:v>48</x:v>
      </x:c>
      <x:c r="AI150" s="26"/>
      <x:c r="AJ150" s="26" t="str">
        <x:v>비교 자료 부족</x:v>
      </x:c>
      <x:c r="AK150" s="27" t="str">
        <x:v>진열만·전단만 중 하나와 비교할 자료가 없음</x:v>
      </x:c>
    </x:row>
    <x:row r="151">
      <x:c r="A151" s="25" t="str">
        <x:v>DELI</x:v>
      </x:c>
      <x:c r="B151" s="26" t="str">
        <x:v>DELI MEATS</x:v>
      </x:c>
      <x:c r="C151" s="26" t="n">
        <x:v>7</x:v>
      </x:c>
      <x:c r="D151" s="26" t="n">
        <x:v>11</x:v>
      </x:c>
      <x:c r="E151" s="26" t="n">
        <x:v>12</x:v>
      </x:c>
      <x:c r="F151" s="26" t="n">
        <x:v>0</x:v>
      </x:c>
      <x:c r="G151" s="26" t="n">
        <x:v>0</x:v>
      </x:c>
      <x:c r="H151" s="26" t="n">
        <x:v>0</x:v>
      </x:c>
      <x:c r="I151" s="26" t="n">
        <x:v>0.5</x:v>
      </x:c>
      <x:c r="J151" s="26" t="n">
        <x:v>-0.028571428571428574</x:v>
      </x:c>
      <x:c r="K151" s="26" t="n">
        <x:v>-0.08457142857142858</x:v>
      </x:c>
      <x:c r="L151" s="26" t="n">
        <x:v>0.02742857142857142</x:v>
      </x:c>
      <x:c r="M151" s="26" t="n">
        <x:v>0.841344746068543</x:v>
      </x:c>
      <x:c r="N151" s="26" t="n">
        <x:v>0</x:v>
      </x:c>
      <x:c r="O151" s="26" t="n">
        <x:v>0</x:v>
      </x:c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  <x:c r="AA151" s="26"/>
      <x:c r="AB151" s="26"/>
      <x:c r="AC151" s="39" t="b">
        <x:v>0</x:v>
      </x:c>
      <x:c r="AD151" s="39" t="b">
        <x:v>0</x:v>
      </x:c>
      <x:c r="AE151" s="39" t="b">
        <x:v>0</x:v>
      </x:c>
      <x:c r="AF151" s="26" t="n">
        <x:v>0</x:v>
      </x:c>
      <x:c r="AG151" s="26" t="n">
        <x:v>-0.028571428571428574</x:v>
      </x:c>
      <x:c r="AH151" s="26" t="n">
        <x:v>12</x:v>
      </x:c>
      <x:c r="AI151" s="26"/>
      <x:c r="AJ151" s="26" t="str">
        <x:v>비교 자료 부족</x:v>
      </x:c>
      <x:c r="AK151" s="27" t="str">
        <x:v>진열만·전단만 중 하나와 비교할 자료가 없음</x:v>
      </x:c>
    </x:row>
    <x:row r="152">
      <x:c r="A152" s="25" t="str">
        <x:v>MEAT-PCKGD</x:v>
      </x:c>
      <x:c r="B152" s="26" t="str">
        <x:v>MEAT - MISC</x:v>
      </x:c>
      <x:c r="C152" s="26" t="n">
        <x:v>82</x:v>
      </x:c>
      <x:c r="D152" s="26" t="n">
        <x:v>5690</x:v>
      </x:c>
      <x:c r="E152" s="26" t="n">
        <x:v>39482</x:v>
      </x:c>
      <x:c r="F152" s="26" t="n">
        <x:v>0.006036306190244039</x:v>
      </x:c>
      <x:c r="G152" s="26" t="n">
        <x:v>0.00044118865262415905</x:v>
      </x:c>
      <x:c r="H152" s="26" t="n">
        <x:v>0.01163142372786392</x:v>
      </x:c>
      <x:c r="I152" s="26" t="n">
        <x:v>0.01723412638087765</x:v>
      </x:c>
      <x:c r="J152" s="26" t="n">
        <x:v>0.03480799268536586</x:v>
      </x:c>
      <x:c r="K152" s="26" t="n">
        <x:v>0.0012235701711968416</x:v>
      </x:c>
      <x:c r="L152" s="26" t="n">
        <x:v>0.06839241519953487</x:v>
      </x:c>
      <x:c r="M152" s="26" t="n">
        <x:v>0.02110681013468875</x:v>
      </x:c>
      <x:c r="N152" s="26" t="n">
        <x:v>0.2804878048780488</x:v>
      </x:c>
      <x:c r="O152" s="26" t="n">
        <x:v>0.2926829268292683</x:v>
      </x:c>
      <x:c r="P152" s="26" t="n">
        <x:v>63</x:v>
      </x:c>
      <x:c r="Q152" s="26" t="n">
        <x:v>4398</x:v>
      </x:c>
      <x:c r="R152" s="26" t="n">
        <x:v>12777</x:v>
      </x:c>
      <x:c r="S152" s="26" t="n">
        <x:v>0.005236722355979507</x:v>
      </x:c>
      <x:c r="T152" s="26" t="n">
        <x:v>0.00010752140052135758</x:v>
      </x:c>
      <x:c r="U152" s="26" t="n">
        <x:v>0.010365923311437656</x:v>
      </x:c>
      <x:c r="V152" s="26" t="n">
        <x:v>0.022691523645747756</x:v>
      </x:c>
      <x:c r="W152" s="26" t="n">
        <x:v>0.054392649746031745</x:v>
      </x:c>
      <x:c r="X152" s="26" t="n">
        <x:v>0.012608397777812072</x:v>
      </x:c>
      <x:c r="Y152" s="26" t="n">
        <x:v>0.09617690171425142</x:v>
      </x:c>
      <x:c r="Z152" s="26" t="n">
        <x:v>0.005364093809640599</x:v>
      </x:c>
      <x:c r="AA152" s="26" t="n">
        <x:v>0.19047619047619047</x:v>
      </x:c>
      <x:c r="AB152" s="26" t="n">
        <x:v>0.2698412698412698</x:v>
      </x:c>
      <x:c r="AC152" s="39" t="b">
        <x:v>1</x:v>
      </x:c>
      <x:c r="AD152" s="39" t="b">
        <x:v>1</x:v>
      </x:c>
      <x:c r="AE152" s="39" t="b">
        <x:v>1</x:v>
      </x:c>
      <x:c r="AF152" s="26" t="n">
        <x:v>0.005236722355979507</x:v>
      </x:c>
      <x:c r="AG152" s="26" t="n">
        <x:v>0.03480799268536586</x:v>
      </x:c>
      <x:c r="AH152" s="26" t="n">
        <x:v>12777</x:v>
      </x:c>
      <x:c r="AI152" s="26" t="n">
        <x:v>0.49230769230769234</x:v>
      </x:c>
      <x:c r="AJ152" s="26" t="str">
        <x:v>안정적 적용 후보</x:v>
      </x:c>
      <x:c r="AK152" s="27" t="str">
        <x:v>두 단독 방식 대비 판매발생률·매출의 95% 신뢰구간이 모두 0보다 크지만 우선 적용군보다 효과·규모 점수가 낮음</x:v>
      </x:c>
    </x:row>
    <x:row r="153">
      <x:c r="A153" s="25" t="str">
        <x:v>SEAFOOD-PCKGD</x:v>
      </x:c>
      <x:c r="B153" s="26" t="str">
        <x:v>SEAFOOD - FROZEN</x:v>
      </x:c>
      <x:c r="C153" s="26" t="n">
        <x:v>229</x:v>
      </x:c>
      <x:c r="D153" s="26" t="n">
        <x:v>10217</x:v>
      </x:c>
      <x:c r="E153" s="26" t="n">
        <x:v>35902</x:v>
      </x:c>
      <x:c r="F153" s="26" t="n">
        <x:v>0.00680304663428402</x:v>
      </x:c>
      <x:c r="G153" s="26" t="n">
        <x:v>0.0037774463881836235</x:v>
      </x:c>
      <x:c r="H153" s="26" t="n">
        <x:v>0.009828646880384418</x:v>
      </x:c>
      <x:c r="I153" s="26" t="n">
        <x:v>0.000005239401561570784</x:v>
      </x:c>
      <x:c r="J153" s="26" t="n">
        <x:v>0.040873759969432315</x:v>
      </x:c>
      <x:c r="K153" s="26" t="n">
        <x:v>0.022291540744984507</x:v>
      </x:c>
      <x:c r="L153" s="26" t="n">
        <x:v>0.059455979193880126</x:v>
      </x:c>
      <x:c r="M153" s="26" t="n">
        <x:v>0.000008116757678702617</x:v>
      </x:c>
      <x:c r="N153" s="26" t="n">
        <x:v>0.32751091703056767</x:v>
      </x:c>
      <x:c r="O153" s="26" t="n">
        <x:v>0.3318777292576419</x:v>
      </x:c>
      <x:c r="P153" s="26" t="n">
        <x:v>197</x:v>
      </x:c>
      <x:c r="Q153" s="26" t="n">
        <x:v>9145</x:v>
      </x:c>
      <x:c r="R153" s="26" t="n">
        <x:v>19632</x:v>
      </x:c>
      <x:c r="S153" s="26" t="n">
        <x:v>0.004837106242278153</x:v>
      </x:c>
      <x:c r="T153" s="26" t="n">
        <x:v>0.0019918505157993306</x:v>
      </x:c>
      <x:c r="U153" s="26" t="n">
        <x:v>0.007682361968756976</x:v>
      </x:c>
      <x:c r="V153" s="26" t="n">
        <x:v>0.00043093829225228635</x:v>
      </x:c>
      <x:c r="W153" s="26" t="n">
        <x:v>0.031075783842639596</x:v>
      </x:c>
      <x:c r="X153" s="26" t="n">
        <x:v>0.006912150670025624</x:v>
      </x:c>
      <x:c r="Y153" s="26" t="n">
        <x:v>0.05523941701525357</x:v>
      </x:c>
      <x:c r="Z153" s="26" t="n">
        <x:v>0.005856588300128268</x:v>
      </x:c>
      <x:c r="AA153" s="26" t="n">
        <x:v>0.25380710659898476</x:v>
      </x:c>
      <x:c r="AB153" s="26" t="n">
        <x:v>0.27411167512690354</x:v>
      </x:c>
      <x:c r="AC153" s="39" t="b">
        <x:v>1</x:v>
      </x:c>
      <x:c r="AD153" s="39" t="b">
        <x:v>1</x:v>
      </x:c>
      <x:c r="AE153" s="39" t="b">
        <x:v>1</x:v>
      </x:c>
      <x:c r="AF153" s="26" t="n">
        <x:v>0.004837106242278153</x:v>
      </x:c>
      <x:c r="AG153" s="26" t="n">
        <x:v>0.031075783842639596</x:v>
      </x:c>
      <x:c r="AH153" s="26" t="n">
        <x:v>19632</x:v>
      </x:c>
      <x:c r="AI153" s="26" t="n">
        <x:v>0.47692307692307695</x:v>
      </x:c>
      <x:c r="AJ153" s="26" t="str">
        <x:v>안정적 적용 후보</x:v>
      </x:c>
      <x:c r="AK153" s="27" t="str">
        <x:v>두 단독 방식 대비 판매발생률·매출의 95% 신뢰구간이 모두 0보다 크지만 우선 적용군보다 효과·규모 점수가 낮음</x:v>
      </x:c>
    </x:row>
    <x:row r="154">
      <x:c r="A154" s="25" t="str">
        <x:v>GROCERY</x:v>
      </x:c>
      <x:c r="B154" s="26" t="str">
        <x:v>COLD CEREAL</x:v>
      </x:c>
      <x:c r="C154" s="26" t="n">
        <x:v>466</x:v>
      </x:c>
      <x:c r="D154" s="26" t="n">
        <x:v>18271</x:v>
      </x:c>
      <x:c r="E154" s="26" t="n">
        <x:v>38616</x:v>
      </x:c>
      <x:c r="F154" s="26" t="n">
        <x:v>0.007771796005277867</x:v>
      </x:c>
      <x:c r="G154" s="26" t="n">
        <x:v>0.004278804674369587</x:v>
      </x:c>
      <x:c r="H154" s="26" t="n">
        <x:v>0.011264787336186147</x:v>
      </x:c>
      <x:c r="I154" s="26" t="n">
        <x:v>0.000006475290049499012</x:v>
      </x:c>
      <x:c r="J154" s="26" t="n">
        <x:v>0.017234006012875534</x:v>
      </x:c>
      <x:c r="K154" s="26" t="n">
        <x:v>0.007401122782646491</x:v>
      </x:c>
      <x:c r="L154" s="26" t="n">
        <x:v>0.027066889243104575</x:v>
      </x:c>
      <x:c r="M154" s="26" t="n">
        <x:v>0.0002959770812849608</x:v>
      </x:c>
      <x:c r="N154" s="26" t="n">
        <x:v>0.19313304721030042</x:v>
      </x:c>
      <x:c r="O154" s="26" t="n">
        <x:v>0.20386266094420602</x:v>
      </x:c>
      <x:c r="P154" s="26" t="n">
        <x:v>367</x:v>
      </x:c>
      <x:c r="Q154" s="26" t="n">
        <x:v>16053</x:v>
      </x:c>
      <x:c r="R154" s="26" t="n">
        <x:v>25915</x:v>
      </x:c>
      <x:c r="S154" s="26" t="n">
        <x:v>0.01065227902645336</x:v>
      </x:c>
      <x:c r="T154" s="26" t="n">
        <x:v>0.003360422071512174</x:v>
      </x:c>
      <x:c r="U154" s="26" t="n">
        <x:v>0.017944135981394545</x:v>
      </x:c>
      <x:c r="V154" s="26" t="n">
        <x:v>0.0020965457008600636</x:v>
      </x:c>
      <x:c r="W154" s="26" t="n">
        <x:v>0.029533916921525887</x:v>
      </x:c>
      <x:c r="X154" s="26" t="n">
        <x:v>0.010484823611564355</x:v>
      </x:c>
      <x:c r="Y154" s="26" t="n">
        <x:v>0.04858301023148742</x:v>
      </x:c>
      <x:c r="Z154" s="26" t="n">
        <x:v>0.001187593289572595</x:v>
      </x:c>
      <x:c r="AA154" s="26" t="n">
        <x:v>0.1989100817438692</x:v>
      </x:c>
      <x:c r="AB154" s="26" t="n">
        <x:v>0.20435967302452315</x:v>
      </x:c>
      <x:c r="AC154" s="39" t="b">
        <x:v>1</x:v>
      </x:c>
      <x:c r="AD154" s="39" t="b">
        <x:v>1</x:v>
      </x:c>
      <x:c r="AE154" s="39" t="b">
        <x:v>1</x:v>
      </x:c>
      <x:c r="AF154" s="26" t="n">
        <x:v>0.007771796005277867</x:v>
      </x:c>
      <x:c r="AG154" s="26" t="n">
        <x:v>0.017234006012875534</x:v>
      </x:c>
      <x:c r="AH154" s="26" t="n">
        <x:v>25915</x:v>
      </x:c>
      <x:c r="AI154" s="26" t="n">
        <x:v>0.46153846153846156</x:v>
      </x:c>
      <x:c r="AJ154" s="26" t="str">
        <x:v>안정적 적용 후보</x:v>
      </x:c>
      <x:c r="AK154" s="27" t="str">
        <x:v>두 단독 방식 대비 판매발생률·매출의 95% 신뢰구간이 모두 0보다 크지만 우선 적용군보다 효과·규모 점수가 낮음</x:v>
      </x:c>
    </x:row>
    <x:row r="155">
      <x:c r="A155" s="25" t="str">
        <x:v>GROCERY</x:v>
      </x:c>
      <x:c r="B155" s="26" t="str">
        <x:v>BAG SNACKS</x:v>
      </x:c>
      <x:c r="C155" s="26" t="n">
        <x:v>688</x:v>
      </x:c>
      <x:c r="D155" s="26" t="n">
        <x:v>33319</x:v>
      </x:c>
      <x:c r="E155" s="26" t="n">
        <x:v>225261</x:v>
      </x:c>
      <x:c r="F155" s="26" t="n">
        <x:v>0.006391107957833571</x:v>
      </x:c>
      <x:c r="G155" s="26" t="n">
        <x:v>0.003988330652237375</x:v>
      </x:c>
      <x:c r="H155" s="26" t="n">
        <x:v>0.008793885263429767</x:v>
      </x:c>
      <x:c r="I155" s="26" t="n">
        <x:v>9.271931860605349e-8</x:v>
      </x:c>
      <x:c r="J155" s="26" t="n">
        <x:v>0.009926724735973837</x:v>
      </x:c>
      <x:c r="K155" s="26" t="n">
        <x:v>0.003919488886519706</x:v>
      </x:c>
      <x:c r="L155" s="26" t="n">
        <x:v>0.015933960585427967</x:v>
      </x:c>
      <x:c r="M155" s="26" t="n">
        <x:v>0.0006001177665583704</x:v>
      </x:c>
      <x:c r="N155" s="26" t="n">
        <x:v>0.18459302325581395</x:v>
      </x:c>
      <x:c r="O155" s="26" t="n">
        <x:v>0.18023255813953487</x:v>
      </x:c>
      <x:c r="P155" s="26" t="n">
        <x:v>446</x:v>
      </x:c>
      <x:c r="Q155" s="26" t="n">
        <x:v>27535</x:v>
      </x:c>
      <x:c r="R155" s="26" t="n">
        <x:v>115241</x:v>
      </x:c>
      <x:c r="S155" s="26" t="n">
        <x:v>0.005515592255419261</x:v>
      </x:c>
      <x:c r="T155" s="26" t="n">
        <x:v>0.0030704584119179822</x:v>
      </x:c>
      <x:c r="U155" s="26" t="n">
        <x:v>0.00796072609892054</x:v>
      </x:c>
      <x:c r="V155" s="26" t="n">
        <x:v>0.000004906458791194292</x:v>
      </x:c>
      <x:c r="W155" s="26" t="n">
        <x:v>0.013573673002242152</x:v>
      </x:c>
      <x:c r="X155" s="26" t="n">
        <x:v>0.00745312187037984</x:v>
      </x:c>
      <x:c r="Y155" s="26" t="n">
        <x:v>0.019694224134104463</x:v>
      </x:c>
      <x:c r="Z155" s="26" t="n">
        <x:v>0.000006909025581088742</x:v>
      </x:c>
      <x:c r="AA155" s="26" t="n">
        <x:v>0.17937219730941703</x:v>
      </x:c>
      <x:c r="AB155" s="26" t="n">
        <x:v>0.17937219730941703</x:v>
      </x:c>
      <x:c r="AC155" s="39" t="b">
        <x:v>1</x:v>
      </x:c>
      <x:c r="AD155" s="39" t="b">
        <x:v>1</x:v>
      </x:c>
      <x:c r="AE155" s="39" t="b">
        <x:v>1</x:v>
      </x:c>
      <x:c r="AF155" s="26" t="n">
        <x:v>0.005515592255419261</x:v>
      </x:c>
      <x:c r="AG155" s="26" t="n">
        <x:v>0.009926724735973837</x:v>
      </x:c>
      <x:c r="AH155" s="26" t="n">
        <x:v>115241</x:v>
      </x:c>
      <x:c r="AI155" s="26" t="n">
        <x:v>0.4307692307692308</x:v>
      </x:c>
      <x:c r="AJ155" s="26" t="str">
        <x:v>안정적 적용 후보</x:v>
      </x:c>
      <x:c r="AK155" s="27" t="str">
        <x:v>두 단독 방식 대비 판매발생률·매출의 95% 신뢰구간이 모두 0보다 크지만 우선 적용군보다 효과·규모 점수가 낮음</x:v>
      </x:c>
    </x:row>
    <x:row r="156">
      <x:c r="A156" s="25" t="str">
        <x:v>GROCERY</x:v>
      </x:c>
      <x:c r="B156" s="26" t="str">
        <x:v>ICE CREAM/MILK/SHERBTS</x:v>
      </x:c>
      <x:c r="C156" s="26" t="n">
        <x:v>609</x:v>
      </x:c>
      <x:c r="D156" s="26" t="n">
        <x:v>19877</x:v>
      </x:c>
      <x:c r="E156" s="26" t="n">
        <x:v>59983</x:v>
      </x:c>
      <x:c r="F156" s="26" t="n">
        <x:v>0.014221753201591998</x:v>
      </x:c>
      <x:c r="G156" s="26" t="n">
        <x:v>0.008516670416214822</x:v>
      </x:c>
      <x:c r="H156" s="26" t="n">
        <x:v>0.019926835986969177</x:v>
      </x:c>
      <x:c r="I156" s="26" t="n">
        <x:v>5.147083292151804e-7</x:v>
      </x:c>
      <x:c r="J156" s="26" t="n">
        <x:v>0.031653456639901476</x:v>
      </x:c>
      <x:c r="K156" s="26" t="n">
        <x:v>0.015663147222065594</x:v>
      </x:c>
      <x:c r="L156" s="26" t="n">
        <x:v>0.04764376605773736</x:v>
      </x:c>
      <x:c r="M156" s="26" t="n">
        <x:v>0.00005225006531118509</x:v>
      </x:c>
      <x:c r="N156" s="26" t="n">
        <x:v>0.24794745484400657</x:v>
      </x:c>
      <x:c r="O156" s="26" t="n">
        <x:v>0.2512315270935961</x:v>
      </x:c>
      <x:c r="P156" s="26" t="n">
        <x:v>448</x:v>
      </x:c>
      <x:c r="Q156" s="26" t="n">
        <x:v>29076</x:v>
      </x:c>
      <x:c r="R156" s="26" t="n">
        <x:v>113806</x:v>
      </x:c>
      <x:c r="S156" s="26" t="n">
        <x:v>0.0035818770180587266</x:v>
      </x:c>
      <x:c r="T156" s="26" t="n">
        <x:v>0.0020665847316167227</x:v>
      </x:c>
      <x:c r="U156" s="26" t="n">
        <x:v>0.0050971693045007305</x:v>
      </x:c>
      <x:c r="V156" s="26" t="n">
        <x:v>0.0000018012769703331378</x:v>
      </x:c>
      <x:c r="W156" s="26" t="n">
        <x:v>0.010712469800892856</x:v>
      </x:c>
      <x:c r="X156" s="26" t="n">
        <x:v>0.005854509273027041</x:v>
      </x:c>
      <x:c r="Y156" s="26" t="n">
        <x:v>0.015570430328758671</x:v>
      </x:c>
      <x:c r="Z156" s="26" t="n">
        <x:v>0.000007728639960765734</x:v>
      </x:c>
      <x:c r="AA156" s="26" t="n">
        <x:v>0.27232142857142855</x:v>
      </x:c>
      <x:c r="AB156" s="26" t="n">
        <x:v>0.27232142857142855</x:v>
      </x:c>
      <x:c r="AC156" s="39" t="b">
        <x:v>1</x:v>
      </x:c>
      <x:c r="AD156" s="39" t="b">
        <x:v>1</x:v>
      </x:c>
      <x:c r="AE156" s="39" t="b">
        <x:v>1</x:v>
      </x:c>
      <x:c r="AF156" s="26" t="n">
        <x:v>0.0035818770180587266</x:v>
      </x:c>
      <x:c r="AG156" s="26" t="n">
        <x:v>0.010712469800892856</x:v>
      </x:c>
      <x:c r="AH156" s="26" t="n">
        <x:v>59983</x:v>
      </x:c>
      <x:c r="AI156" s="26" t="n">
        <x:v>0.2923076923076923</x:v>
      </x:c>
      <x:c r="AJ156" s="26" t="str">
        <x:v>안정적 적용 후보</x:v>
      </x:c>
      <x:c r="AK156" s="27" t="str">
        <x:v>두 단독 방식 대비 판매발생률·매출의 95% 신뢰구간이 모두 0보다 크지만 우선 적용군보다 효과·규모 점수가 낮음</x:v>
      </x:c>
    </x:row>
    <x:row r="157">
      <x:c r="A157" s="25" t="str">
        <x:v>DRUG GM</x:v>
      </x:c>
      <x:c r="B157" s="26" t="str">
        <x:v>CANDY - CHECKLANE</x:v>
      </x:c>
      <x:c r="C157" s="26" t="n">
        <x:v>291</x:v>
      </x:c>
      <x:c r="D157" s="26" t="n">
        <x:v>17603</x:v>
      </x:c>
      <x:c r="E157" s="26" t="n">
        <x:v>70401</x:v>
      </x:c>
      <x:c r="F157" s="26" t="n">
        <x:v>0.01032745299835942</x:v>
      </x:c>
      <x:c r="G157" s="26" t="n">
        <x:v>0.005774886550902202</x:v>
      </x:c>
      <x:c r="H157" s="26" t="n">
        <x:v>0.014880019445816638</x:v>
      </x:c>
      <x:c r="I157" s="26" t="n">
        <x:v>0.000004369294241432357</x:v>
      </x:c>
      <x:c r="J157" s="26" t="n">
        <x:v>0.007358090580481098</x:v>
      </x:c>
      <x:c r="K157" s="26" t="n">
        <x:v>0.003885714845242288</x:v>
      </x:c>
      <x:c r="L157" s="26" t="n">
        <x:v>0.010830466315719909</x:v>
      </x:c>
      <x:c r="M157" s="26" t="n">
        <x:v>0.000016384919472444497</x:v>
      </x:c>
      <x:c r="N157" s="26" t="n">
        <x:v>0.21305841924398625</x:v>
      </x:c>
      <x:c r="O157" s="26" t="n">
        <x:v>0.20618556701030927</x:v>
      </x:c>
      <x:c r="P157" s="26" t="n">
        <x:v>227</x:v>
      </x:c>
      <x:c r="Q157" s="26" t="n">
        <x:v>14103</x:v>
      </x:c>
      <x:c r="R157" s="26" t="n">
        <x:v>33900</x:v>
      </x:c>
      <x:c r="S157" s="26" t="n">
        <x:v>0.004601602155328645</x:v>
      </x:c>
      <x:c r="T157" s="26" t="n">
        <x:v>0.0013676439840534572</x:v>
      </x:c>
      <x:c r="U157" s="26" t="n">
        <x:v>0.007835560326603833</x:v>
      </x:c>
      <x:c r="V157" s="26" t="n">
        <x:v>0.0026444850507338943</x:v>
      </x:c>
      <x:c r="W157" s="26" t="n">
        <x:v>0.0021209548187475094</x:v>
      </x:c>
      <x:c r="X157" s="26" t="n">
        <x:v>0.00009386970957932401</x:v>
      </x:c>
      <x:c r="Y157" s="26" t="n">
        <x:v>0.004148039927915695</x:v>
      </x:c>
      <x:c r="Z157" s="26" t="n">
        <x:v>0.020145008869118644</x:v>
      </x:c>
      <x:c r="AA157" s="26" t="n">
        <x:v>0.14977973568281938</x:v>
      </x:c>
      <x:c r="AB157" s="26" t="n">
        <x:v>0.13656387665198239</x:v>
      </x:c>
      <x:c r="AC157" s="39" t="b">
        <x:v>1</x:v>
      </x:c>
      <x:c r="AD157" s="39" t="b">
        <x:v>1</x:v>
      </x:c>
      <x:c r="AE157" s="39" t="b">
        <x:v>1</x:v>
      </x:c>
      <x:c r="AF157" s="26" t="n">
        <x:v>0.004601602155328645</x:v>
      </x:c>
      <x:c r="AG157" s="26" t="n">
        <x:v>0.0021209548187475094</x:v>
      </x:c>
      <x:c r="AH157" s="26" t="n">
        <x:v>33900</x:v>
      </x:c>
      <x:c r="AI157" s="26" t="n">
        <x:v>0.24615384615384617</x:v>
      </x:c>
      <x:c r="AJ157" s="26" t="str">
        <x:v>안정적 적용 후보</x:v>
      </x:c>
      <x:c r="AK157" s="27" t="str">
        <x:v>두 단독 방식 대비 판매발생률·매출의 95% 신뢰구간이 모두 0보다 크지만 우선 적용군보다 효과·규모 점수가 낮음</x:v>
      </x:c>
    </x:row>
    <x:row r="158">
      <x:c r="A158" s="25" t="str">
        <x:v>MEAT-PCKGD</x:v>
      </x:c>
      <x:c r="B158" s="26" t="str">
        <x:v>BACON</x:v>
      </x:c>
      <x:c r="C158" s="26" t="n">
        <x:v>80</x:v>
      </x:c>
      <x:c r="D158" s="26" t="n">
        <x:v>2767</x:v>
      </x:c>
      <x:c r="E158" s="26" t="n">
        <x:v>9156</x:v>
      </x:c>
      <x:c r="F158" s="26" t="n">
        <x:v>0.02903321985237815</x:v>
      </x:c>
      <x:c r="G158" s="26" t="n">
        <x:v>0.011127654564332647</x:v>
      </x:c>
      <x:c r="H158" s="26" t="n">
        <x:v>0.046938785140423656</x:v>
      </x:c>
      <x:c r="I158" s="26" t="n">
        <x:v>0.0007412988949921163</x:v>
      </x:c>
      <x:c r="J158" s="26" t="n">
        <x:v>0.11793703575</x:v>
      </x:c>
      <x:c r="K158" s="26" t="n">
        <x:v>0.03161790773819918</x:v>
      </x:c>
      <x:c r="L158" s="26" t="n">
        <x:v>0.20425616376180084</x:v>
      </x:c>
      <x:c r="M158" s="26" t="n">
        <x:v>0.0037039339376716243</x:v>
      </x:c>
      <x:c r="N158" s="26" t="n">
        <x:v>0.25</x:v>
      </x:c>
      <x:c r="O158" s="26" t="n">
        <x:v>0.25</x:v>
      </x:c>
      <x:c r="P158" s="26" t="n">
        <x:v>51</x:v>
      </x:c>
      <x:c r="Q158" s="26" t="n">
        <x:v>4513</x:v>
      </x:c>
      <x:c r="R158" s="26" t="n">
        <x:v>19044</x:v>
      </x:c>
      <x:c r="S158" s="26" t="n">
        <x:v>0.014445892200100249</x:v>
      </x:c>
      <x:c r="T158" s="26" t="n">
        <x:v>0.003196339328993658</x:v>
      </x:c>
      <x:c r="U158" s="26" t="n">
        <x:v>0.02569544507120684</x:v>
      </x:c>
      <x:c r="V158" s="26" t="n">
        <x:v>0.005919697354028653</x:v>
      </x:c>
      <x:c r="W158" s="26" t="n">
        <x:v>0.08016339463333334</x:v>
      </x:c>
      <x:c r="X158" s="26" t="n">
        <x:v>0.018047089676012713</x:v>
      </x:c>
      <x:c r="Y158" s="26" t="n">
        <x:v>0.14227969959065398</x:v>
      </x:c>
      <x:c r="Z158" s="26" t="n">
        <x:v>0.005712029028639397</x:v>
      </x:c>
      <x:c r="AA158" s="26" t="n">
        <x:v>0.2549019607843137</x:v>
      </x:c>
      <x:c r="AB158" s="26" t="n">
        <x:v>0.29411764705882354</x:v>
      </x:c>
      <x:c r="AC158" s="39" t="b">
        <x:v>1</x:v>
      </x:c>
      <x:c r="AD158" s="39" t="b">
        <x:v>1</x:v>
      </x:c>
      <x:c r="AE158" s="39" t="b">
        <x:v>1</x:v>
      </x:c>
      <x:c r="AF158" s="26" t="n">
        <x:v>0.014445892200100249</x:v>
      </x:c>
      <x:c r="AG158" s="26" t="n">
        <x:v>0.08016339463333334</x:v>
      </x:c>
      <x:c r="AH158" s="26" t="n">
        <x:v>9156</x:v>
      </x:c>
      <x:c r="AI158" s="26" t="n">
        <x:v>0.7846153846153847</x:v>
      </x:c>
      <x:c r="AJ158" s="26" t="str">
        <x:v>우선 적용</x:v>
      </x:c>
      <x:c r="AK158" s="27" t="str">
        <x:v>두 단독 방식 대비 판매발생률·매출의 95% 신뢰구간이 모두 0보다 크고, 효과·규모 종합점수가 상위권</x:v>
      </x:c>
    </x:row>
    <x:row r="159">
      <x:c r="A159" s="25" t="str">
        <x:v>PASTRY</x:v>
      </x:c>
      <x:c r="B159" s="26" t="str">
        <x:v>PIES</x:v>
      </x:c>
      <x:c r="C159" s="26" t="n">
        <x:v>41</x:v>
      </x:c>
      <x:c r="D159" s="26" t="n">
        <x:v>457</x:v>
      </x:c>
      <x:c r="E159" s="26" t="n">
        <x:v>1611</x:v>
      </x:c>
      <x:c r="F159" s="26" t="n">
        <x:v>0.020766309206598933</x:v>
      </x:c>
      <x:c r="G159" s="26" t="n">
        <x:v>0.0036304663221506765</x:v>
      </x:c>
      <x:c r="H159" s="26" t="n">
        <x:v>0.03790215209104719</x:v>
      </x:c>
      <x:c r="I159" s="26" t="n">
        <x:v>0.008768457306809552</x:v>
      </x:c>
      <x:c r="J159" s="26" t="n">
        <x:v>0.11996802131707317</x:v>
      </x:c>
      <x:c r="K159" s="26" t="n">
        <x:v>0.02684767887239997</x:v>
      </x:c>
      <x:c r="L159" s="26" t="n">
        <x:v>0.21308836376174636</x:v>
      </x:c>
      <x:c r="M159" s="26" t="n">
        <x:v>0.005783419647100428</x:v>
      </x:c>
      <x:c r="N159" s="26" t="n">
        <x:v>0.2926829268292683</x:v>
      </x:c>
      <x:c r="O159" s="26" t="n">
        <x:v>0.2682926829268293</x:v>
      </x:c>
      <x:c r="P159" s="26" t="n">
        <x:v>34</x:v>
      </x:c>
      <x:c r="Q159" s="26" t="n">
        <x:v>882</x:v>
      </x:c>
      <x:c r="R159" s="26" t="n">
        <x:v>2476</x:v>
      </x:c>
      <x:c r="S159" s="26" t="n">
        <x:v>0.013999716134127956</x:v>
      </x:c>
      <x:c r="T159" s="26" t="n">
        <x:v>0.0012290679780733605</x:v>
      </x:c>
      <x:c r="U159" s="26" t="n">
        <x:v>0.02677036429018255</x:v>
      </x:c>
      <x:c r="V159" s="26" t="n">
        <x:v>0.015831728316315612</x:v>
      </x:c>
      <x:c r="W159" s="26" t="n">
        <x:v>0.0866563359117647</x:v>
      </x:c>
      <x:c r="X159" s="26" t="n">
        <x:v>0.011221491023574823</x:v>
      </x:c>
      <x:c r="Y159" s="26" t="n">
        <x:v>0.1620911807999546</x:v>
      </x:c>
      <x:c r="Z159" s="26" t="n">
        <x:v>0.012174903465053807</x:v>
      </x:c>
      <x:c r="AA159" s="26" t="n">
        <x:v>0.3235294117647059</x:v>
      </x:c>
      <x:c r="AB159" s="26" t="n">
        <x:v>0.3235294117647059</x:v>
      </x:c>
      <x:c r="AC159" s="39" t="b">
        <x:v>1</x:v>
      </x:c>
      <x:c r="AD159" s="39" t="b">
        <x:v>1</x:v>
      </x:c>
      <x:c r="AE159" s="39" t="b">
        <x:v>1</x:v>
      </x:c>
      <x:c r="AF159" s="26" t="n">
        <x:v>0.013999716134127956</x:v>
      </x:c>
      <x:c r="AG159" s="26" t="n">
        <x:v>0.0866563359117647</x:v>
      </x:c>
      <x:c r="AH159" s="26" t="n">
        <x:v>1611</x:v>
      </x:c>
      <x:c r="AI159" s="26" t="n">
        <x:v>0.7538461538461538</x:v>
      </x:c>
      <x:c r="AJ159" s="26" t="str">
        <x:v>우선 적용</x:v>
      </x:c>
      <x:c r="AK159" s="27" t="str">
        <x:v>두 단독 방식 대비 판매발생률·매출의 95% 신뢰구간이 모두 0보다 크고, 효과·규모 종합점수가 상위권</x:v>
      </x:c>
    </x:row>
    <x:row r="160">
      <x:c r="A160" s="25" t="str">
        <x:v>MEAT-PCKGD</x:v>
      </x:c>
      <x:c r="B160" s="26" t="str">
        <x:v>BREAKFAST SAUSAGE/SANDWICHES</x:v>
      </x:c>
      <x:c r="C160" s="26" t="n">
        <x:v>136</x:v>
      </x:c>
      <x:c r="D160" s="26" t="n">
        <x:v>4357</x:v>
      </x:c>
      <x:c r="E160" s="26" t="n">
        <x:v>14188</x:v>
      </x:c>
      <x:c r="F160" s="26" t="n">
        <x:v>0.0241121168540368</x:v>
      </x:c>
      <x:c r="G160" s="26" t="n">
        <x:v>0.013858236221207685</x:v>
      </x:c>
      <x:c r="H160" s="26" t="n">
        <x:v>0.03436599748686591</x:v>
      </x:c>
      <x:c r="I160" s="26" t="n">
        <x:v>0.0000020234187075647785</x:v>
      </x:c>
      <x:c r="J160" s="26" t="n">
        <x:v>0.06639239767433823</x:v>
      </x:c>
      <x:c r="K160" s="26" t="n">
        <x:v>0.03610589796771789</x:v>
      </x:c>
      <x:c r="L160" s="26" t="n">
        <x:v>0.09667889738095857</x:v>
      </x:c>
      <x:c r="M160" s="26" t="n">
        <x:v>0.000008671726193972662</x:v>
      </x:c>
      <x:c r="N160" s="26" t="n">
        <x:v>0.29411764705882354</x:v>
      </x:c>
      <x:c r="O160" s="26" t="n">
        <x:v>0.29411764705882354</x:v>
      </x:c>
      <x:c r="P160" s="26" t="n">
        <x:v>109</x:v>
      </x:c>
      <x:c r="Q160" s="26" t="n">
        <x:v>6624</x:v>
      </x:c>
      <x:c r="R160" s="26" t="n">
        <x:v>25292</x:v>
      </x:c>
      <x:c r="S160" s="26" t="n">
        <x:v>0.011680428592724622</x:v>
      </x:c>
      <x:c r="T160" s="26" t="n">
        <x:v>0.003541504068844868</x:v>
      </x:c>
      <x:c r="U160" s="26" t="n">
        <x:v>0.019819353116604377</x:v>
      </x:c>
      <x:c r="V160" s="26" t="n">
        <x:v>0.0024551654830800916</x:v>
      </x:c>
      <x:c r="W160" s="26" t="n">
        <x:v>0.049131036143211</x:v>
      </x:c>
      <x:c r="X160" s="26" t="n">
        <x:v>0.018449064924784056</x:v>
      </x:c>
      <x:c r="Y160" s="26" t="n">
        <x:v>0.07981300736163795</x:v>
      </x:c>
      <x:c r="Z160" s="26" t="n">
        <x:v>0.0008489364314190459</x:v>
      </x:c>
      <x:c r="AA160" s="26" t="n">
        <x:v>0.3486238532110092</x:v>
      </x:c>
      <x:c r="AB160" s="26" t="n">
        <x:v>0.3302752293577982</x:v>
      </x:c>
      <x:c r="AC160" s="39" t="b">
        <x:v>1</x:v>
      </x:c>
      <x:c r="AD160" s="39" t="b">
        <x:v>1</x:v>
      </x:c>
      <x:c r="AE160" s="39" t="b">
        <x:v>1</x:v>
      </x:c>
      <x:c r="AF160" s="26" t="n">
        <x:v>0.011680428592724622</x:v>
      </x:c>
      <x:c r="AG160" s="26" t="n">
        <x:v>0.049131036143211</x:v>
      </x:c>
      <x:c r="AH160" s="26" t="n">
        <x:v>14188</x:v>
      </x:c>
      <x:c r="AI160" s="26" t="n">
        <x:v>0.6923076923076923</x:v>
      </x:c>
      <x:c r="AJ160" s="26" t="str">
        <x:v>우선 적용</x:v>
      </x:c>
      <x:c r="AK160" s="27" t="str">
        <x:v>두 단독 방식 대비 판매발생률·매출의 95% 신뢰구간이 모두 0보다 크고, 효과·규모 종합점수가 상위권</x:v>
      </x:c>
    </x:row>
    <x:row r="161">
      <x:c r="A161" s="25" t="str">
        <x:v>MEAT-PCKGD</x:v>
      </x:c>
      <x:c r="B161" s="26" t="str">
        <x:v>LUNCHMEAT</x:v>
      </x:c>
      <x:c r="C161" s="26" t="n">
        <x:v>415</x:v>
      </x:c>
      <x:c r="D161" s="26" t="n">
        <x:v>7579</x:v>
      </x:c>
      <x:c r="E161" s="26" t="n">
        <x:v>14241</x:v>
      </x:c>
      <x:c r="F161" s="26" t="n">
        <x:v>0.015261830581689562</x:v>
      </x:c>
      <x:c r="G161" s="26" t="n">
        <x:v>0.009720894450248806</x:v>
      </x:c>
      <x:c r="H161" s="26" t="n">
        <x:v>0.02080276671313032</x:v>
      </x:c>
      <x:c r="I161" s="26" t="n">
        <x:v>3.3585175152265805e-8</x:v>
      </x:c>
      <x:c r="J161" s="26" t="n">
        <x:v>0.032389660509397594</x:v>
      </x:c>
      <x:c r="K161" s="26" t="n">
        <x:v>0.01794636431745302</x:v>
      </x:c>
      <x:c r="L161" s="26" t="n">
        <x:v>0.04683295670134217</x:v>
      </x:c>
      <x:c r="M161" s="26" t="n">
        <x:v>0.000005529028510112765</x:v>
      </x:c>
      <x:c r="N161" s="26" t="n">
        <x:v>0.21445783132530122</x:v>
      </x:c>
      <x:c r="O161" s="26" t="n">
        <x:v>0.21686746987951808</x:v>
      </x:c>
      <x:c r="P161" s="26" t="n">
        <x:v>316</x:v>
      </x:c>
      <x:c r="Q161" s="26" t="n">
        <x:v>14260</x:v>
      </x:c>
      <x:c r="R161" s="26" t="n">
        <x:v>21240</x:v>
      </x:c>
      <x:c r="S161" s="26" t="n">
        <x:v>0.013677765653935407</x:v>
      </x:c>
      <x:c r="T161" s="26" t="n">
        <x:v>0.00893779653741017</x:v>
      </x:c>
      <x:c r="U161" s="26" t="n">
        <x:v>0.018417734770460645</x:v>
      </x:c>
      <x:c r="V161" s="26" t="n">
        <x:v>7.755116221877226e-9</x:v>
      </x:c>
      <x:c r="W161" s="26" t="n">
        <x:v>0.027972826250316454</x:v>
      </x:c>
      <x:c r="X161" s="26" t="n">
        <x:v>0.01645955270371178</x:v>
      </x:c>
      <x:c r="Y161" s="26" t="n">
        <x:v>0.03948609979692113</x:v>
      </x:c>
      <x:c r="Z161" s="26" t="n">
        <x:v>9.581994145443713e-7</x:v>
      </x:c>
      <x:c r="AA161" s="26" t="n">
        <x:v>0.23734177215189872</x:v>
      </x:c>
      <x:c r="AB161" s="26" t="n">
        <x:v>0.23734177215189872</x:v>
      </x:c>
      <x:c r="AC161" s="39" t="b">
        <x:v>1</x:v>
      </x:c>
      <x:c r="AD161" s="39" t="b">
        <x:v>1</x:v>
      </x:c>
      <x:c r="AE161" s="39" t="b">
        <x:v>1</x:v>
      </x:c>
      <x:c r="AF161" s="26" t="n">
        <x:v>0.013677765653935407</x:v>
      </x:c>
      <x:c r="AG161" s="26" t="n">
        <x:v>0.027972826250316454</x:v>
      </x:c>
      <x:c r="AH161" s="26" t="n">
        <x:v>14241</x:v>
      </x:c>
      <x:c r="AI161" s="26" t="n">
        <x:v>0.6461538461538462</x:v>
      </x:c>
      <x:c r="AJ161" s="26" t="str">
        <x:v>우선 적용</x:v>
      </x:c>
      <x:c r="AK161" s="27" t="str">
        <x:v>두 단독 방식 대비 판매발생률·매출의 95% 신뢰구간이 모두 0보다 크고, 효과·규모 종합점수가 상위권</x:v>
      </x:c>
    </x:row>
    <x:row r="162">
      <x:c r="A162" s="25" t="str">
        <x:v>MEAT-PCKGD</x:v>
      </x:c>
      <x:c r="B162" s="26" t="str">
        <x:v>DINNER SAUSAGE</x:v>
      </x:c>
      <x:c r="C162" s="26" t="n">
        <x:v>156</x:v>
      </x:c>
      <x:c r="D162" s="26" t="n">
        <x:v>6962</x:v>
      </x:c>
      <x:c r="E162" s="26" t="n">
        <x:v>26328</x:v>
      </x:c>
      <x:c r="F162" s="26" t="n">
        <x:v>0.009640858097587692</x:v>
      </x:c>
      <x:c r="G162" s="26" t="n">
        <x:v>0.003556840562413223</x:v>
      </x:c>
      <x:c r="H162" s="26" t="n">
        <x:v>0.01572487563276216</x:v>
      </x:c>
      <x:c r="I162" s="26" t="n">
        <x:v>0.0009486456870559789</x:v>
      </x:c>
      <x:c r="J162" s="26" t="n">
        <x:v>0.027375646398076922</x:v>
      </x:c>
      <x:c r="K162" s="26" t="n">
        <x:v>0.007666270378957878</x:v>
      </x:c>
      <x:c r="L162" s="26" t="n">
        <x:v>0.04708502241719596</x:v>
      </x:c>
      <x:c r="M162" s="26" t="n">
        <x:v>0.003240750099808488</x:v>
      </x:c>
      <x:c r="N162" s="26" t="n">
        <x:v>0.3076923076923077</x:v>
      </x:c>
      <x:c r="O162" s="26" t="n">
        <x:v>0.30128205128205127</x:v>
      </x:c>
      <x:c r="P162" s="26" t="n">
        <x:v>137</x:v>
      </x:c>
      <x:c r="Q162" s="26" t="n">
        <x:v>10225</x:v>
      </x:c>
      <x:c r="R162" s="26" t="n">
        <x:v>33212</x:v>
      </x:c>
      <x:c r="S162" s="26" t="n">
        <x:v>0.00816916607003509</x:v>
      </x:c>
      <x:c r="T162" s="26" t="n">
        <x:v>0.004780422314448574</x:v>
      </x:c>
      <x:c r="U162" s="26" t="n">
        <x:v>0.011557909825621607</x:v>
      </x:c>
      <x:c r="V162" s="26" t="n">
        <x:v>0.0000011509924606195957</x:v>
      </x:c>
      <x:c r="W162" s="26" t="n">
        <x:v>0.02769123795810219</x:v>
      </x:c>
      <x:c r="X162" s="26" t="n">
        <x:v>0.014662706703336794</x:v>
      </x:c>
      <x:c r="Y162" s="26" t="n">
        <x:v>0.04071976921286758</x:v>
      </x:c>
      <x:c r="Z162" s="26" t="n">
        <x:v>0.00001551015120728043</x:v>
      </x:c>
      <x:c r="AA162" s="26" t="n">
        <x:v>0.3722627737226277</x:v>
      </x:c>
      <x:c r="AB162" s="26" t="n">
        <x:v>0.36496350364963503</x:v>
      </x:c>
      <x:c r="AC162" s="39" t="b">
        <x:v>1</x:v>
      </x:c>
      <x:c r="AD162" s="39" t="b">
        <x:v>1</x:v>
      </x:c>
      <x:c r="AE162" s="39" t="b">
        <x:v>1</x:v>
      </x:c>
      <x:c r="AF162" s="26" t="n">
        <x:v>0.00816916607003509</x:v>
      </x:c>
      <x:c r="AG162" s="26" t="n">
        <x:v>0.027375646398076922</x:v>
      </x:c>
      <x:c r="AH162" s="26" t="n">
        <x:v>26328</x:v>
      </x:c>
      <x:c r="AI162" s="26" t="n">
        <x:v>0.6000000000000001</x:v>
      </x:c>
      <x:c r="AJ162" s="26" t="str">
        <x:v>우선 적용</x:v>
      </x:c>
      <x:c r="AK162" s="27" t="str">
        <x:v>두 단독 방식 대비 판매발생률·매출의 95% 신뢰구간이 모두 0보다 크고, 효과·규모 종합점수가 상위권</x:v>
      </x:c>
    </x:row>
    <x:row r="163">
      <x:c r="A163" s="25" t="str">
        <x:v>GROCERY</x:v>
      </x:c>
      <x:c r="B163" s="26" t="str">
        <x:v>WAREHOUSE SNACKS</x:v>
      </x:c>
      <x:c r="C163" s="26" t="n">
        <x:v>120</x:v>
      </x:c>
      <x:c r="D163" s="26" t="n">
        <x:v>4881</x:v>
      </x:c>
      <x:c r="E163" s="26" t="n">
        <x:v>14354</x:v>
      </x:c>
      <x:c r="F163" s="26" t="n">
        <x:v>0.018484956965983693</x:v>
      </x:c>
      <x:c r="G163" s="26" t="n">
        <x:v>0.00912240038646592</x:v>
      </x:c>
      <x:c r="H163" s="26" t="n">
        <x:v>0.027847513545501468</x:v>
      </x:c>
      <x:c r="I163" s="26" t="n">
        <x:v>0.000054479178680330776</x:v>
      </x:c>
      <x:c r="J163" s="26" t="n">
        <x:v>0.020450939501666668</x:v>
      </x:c>
      <x:c r="K163" s="26" t="n">
        <x:v>0.001484714223724943</x:v>
      </x:c>
      <x:c r="L163" s="26" t="n">
        <x:v>0.039417164779608396</x:v>
      </x:c>
      <x:c r="M163" s="26" t="n">
        <x:v>0.017281873169060744</x:v>
      </x:c>
      <x:c r="N163" s="26" t="n">
        <x:v>0.21666666666666667</x:v>
      </x:c>
      <x:c r="O163" s="26" t="n">
        <x:v>0.225</x:v>
      </x:c>
      <x:c r="P163" s="26" t="n">
        <x:v>110</x:v>
      </x:c>
      <x:c r="Q163" s="26" t="n">
        <x:v>4775</x:v>
      </x:c>
      <x:c r="R163" s="26" t="n">
        <x:v>7773</x:v>
      </x:c>
      <x:c r="S163" s="26" t="n">
        <x:v>0.015825637554805243</x:v>
      </x:c>
      <x:c r="T163" s="26" t="n">
        <x:v>0.006081875227727407</x:v>
      </x:c>
      <x:c r="U163" s="26" t="n">
        <x:v>0.02556939988188308</x:v>
      </x:c>
      <x:c r="V163" s="26" t="n">
        <x:v>0.0007277931003836725</x:v>
      </x:c>
      <x:c r="W163" s="26" t="n">
        <x:v>0.024169490581818175</x:v>
      </x:c>
      <x:c r="X163" s="26" t="n">
        <x:v>0.009365143730756614</x:v>
      </x:c>
      <x:c r="Y163" s="26" t="n">
        <x:v>0.038973837432879736</x:v>
      </x:c>
      <x:c r="Z163" s="26" t="n">
        <x:v>0.000687413106281454</x:v>
      </x:c>
      <x:c r="AA163" s="26" t="n">
        <x:v>0.22727272727272727</x:v>
      </x:c>
      <x:c r="AB163" s="26" t="n">
        <x:v>0.23636363636363636</x:v>
      </x:c>
      <x:c r="AC163" s="39" t="b">
        <x:v>1</x:v>
      </x:c>
      <x:c r="AD163" s="39" t="b">
        <x:v>1</x:v>
      </x:c>
      <x:c r="AE163" s="39" t="b">
        <x:v>1</x:v>
      </x:c>
      <x:c r="AF163" s="26" t="n">
        <x:v>0.015825637554805243</x:v>
      </x:c>
      <x:c r="AG163" s="26" t="n">
        <x:v>0.020450939501666668</x:v>
      </x:c>
      <x:c r="AH163" s="26" t="n">
        <x:v>7773</x:v>
      </x:c>
      <x:c r="AI163" s="26" t="n">
        <x:v>0.5846153846153846</x:v>
      </x:c>
      <x:c r="AJ163" s="26" t="str">
        <x:v>우선 적용</x:v>
      </x:c>
      <x:c r="AK163" s="27" t="str">
        <x:v>두 단독 방식 대비 판매발생률·매출의 95% 신뢰구간이 모두 0보다 크고, 효과·규모 종합점수가 상위권</x:v>
      </x:c>
    </x:row>
    <x:row r="164">
      <x:c r="A164" s="25" t="str">
        <x:v>GROCERY</x:v>
      </x:c>
      <x:c r="B164" s="26" t="str">
        <x:v>SOFT DRINKS</x:v>
      </x:c>
      <x:c r="C164" s="26" t="n">
        <x:v>1019</x:v>
      </x:c>
      <x:c r="D164" s="26" t="n">
        <x:v>29025</x:v>
      </x:c>
      <x:c r="E164" s="26" t="n">
        <x:v>131657</x:v>
      </x:c>
      <x:c r="F164" s="26" t="n">
        <x:v>0.012141477144503778</x:v>
      </x:c>
      <x:c r="G164" s="26" t="n">
        <x:v>0.008161483278209595</x:v>
      </x:c>
      <x:c r="H164" s="26" t="n">
        <x:v>0.01612147101079796</x:v>
      </x:c>
      <x:c r="I164" s="26" t="n">
        <x:v>1.1209802104277503e-9</x:v>
      </x:c>
      <x:c r="J164" s="26" t="n">
        <x:v>0.04497432176135427</x:v>
      </x:c>
      <x:c r="K164" s="26" t="n">
        <x:v>0.03084495017903783</x:v>
      </x:c>
      <x:c r="L164" s="26" t="n">
        <x:v>0.05910369334367071</x:v>
      </x:c>
      <x:c r="M164" s="26" t="n">
        <x:v>2.2053527313739447e-10</x:v>
      </x:c>
      <x:c r="N164" s="26" t="n">
        <x:v>0.18253189401373895</x:v>
      </x:c>
      <x:c r="O164" s="26" t="n">
        <x:v>0.18253189401373895</x:v>
      </x:c>
      <x:c r="P164" s="26" t="n">
        <x:v>878</x:v>
      </x:c>
      <x:c r="Q164" s="26" t="n">
        <x:v>37636</x:v>
      </x:c>
      <x:c r="R164" s="26" t="n">
        <x:v>218550</x:v>
      </x:c>
      <x:c r="S164" s="26" t="n">
        <x:v>0.005432520503566299</x:v>
      </x:c>
      <x:c r="T164" s="26" t="n">
        <x:v>0.0023007226846149097</x:v>
      </x:c>
      <x:c r="U164" s="26" t="n">
        <x:v>0.008564318322517687</x:v>
      </x:c>
      <x:c r="V164" s="26" t="n">
        <x:v>0.00033707581665711703</x:v>
      </x:c>
      <x:c r="W164" s="26" t="n">
        <x:v>0.02094913895034168</x:v>
      </x:c>
      <x:c r="X164" s="26" t="n">
        <x:v>0.008704047558073327</x:v>
      </x:c>
      <x:c r="Y164" s="26" t="n">
        <x:v>0.03319423034261003</x:v>
      </x:c>
      <x:c r="Z164" s="26" t="n">
        <x:v>0.00039940632998023475</x:v>
      </x:c>
      <x:c r="AA164" s="26" t="n">
        <x:v>0.19248291571753987</x:v>
      </x:c>
      <x:c r="AB164" s="26" t="n">
        <x:v>0.19362186788154898</x:v>
      </x:c>
      <x:c r="AC164" s="39" t="b">
        <x:v>1</x:v>
      </x:c>
      <x:c r="AD164" s="39" t="b">
        <x:v>1</x:v>
      </x:c>
      <x:c r="AE164" s="39" t="b">
        <x:v>1</x:v>
      </x:c>
      <x:c r="AF164" s="26" t="n">
        <x:v>0.005432520503566299</x:v>
      </x:c>
      <x:c r="AG164" s="26" t="n">
        <x:v>0.02094913895034168</x:v>
      </x:c>
      <x:c r="AH164" s="26" t="n">
        <x:v>131657</x:v>
      </x:c>
      <x:c r="AI164" s="26" t="n">
        <x:v>0.5384615384615385</x:v>
      </x:c>
      <x:c r="AJ164" s="26" t="str">
        <x:v>우선 적용</x:v>
      </x:c>
      <x:c r="AK164" s="27" t="str">
        <x:v>두 단독 방식 대비 판매발생률·매출의 95% 신뢰구간이 모두 0보다 크고, 효과·규모 종합점수가 상위권</x:v>
      </x:c>
    </x:row>
    <x:row r="165">
      <x:c r="A165" s="25" t="str">
        <x:v>PRODUCE</x:v>
      </x:c>
      <x:c r="B165" s="26" t="str">
        <x:v>BERRIES</x:v>
      </x:c>
      <x:c r="C165" s="26" t="n">
        <x:v>38</x:v>
      </x:c>
      <x:c r="D165" s="26" t="n">
        <x:v>115</x:v>
      </x:c>
      <x:c r="E165" s="26" t="n">
        <x:v>227</x:v>
      </x:c>
      <x:c r="F165" s="26" t="n">
        <x:v>0.0074248120300751865</x:v>
      </x:c>
      <x:c r="G165" s="26" t="n">
        <x:v>-0.013821284037712595</x:v>
      </x:c>
      <x:c r="H165" s="26" t="n">
        <x:v>0.02867090809786297</x:v>
      </x:c>
      <x:c r="I165" s="26" t="n">
        <x:v>0.24668598291568244</x:v>
      </x:c>
      <x:c r="J165" s="26" t="n">
        <x:v>0.21932518605263157</x:v>
      </x:c>
      <x:c r="K165" s="26" t="n">
        <x:v>-0.08347132480185826</x:v>
      </x:c>
      <x:c r="L165" s="26" t="n">
        <x:v>0.5221216969071214</x:v>
      </x:c>
      <x:c r="M165" s="26" t="n">
        <x:v>0.07784888580313402</x:v>
      </x:c>
      <x:c r="N165" s="26" t="n">
        <x:v>0.07894736842105263</x:v>
      </x:c>
      <x:c r="O165" s="26" t="n">
        <x:v>0.10526315789473684</x:v>
      </x:c>
      <x:c r="P165" s="26" t="n">
        <x:v>28</x:v>
      </x:c>
      <x:c r="Q165" s="26" t="n">
        <x:v>136</x:v>
      </x:c>
      <x:c r="R165" s="26" t="n">
        <x:v>178</x:v>
      </x:c>
      <x:c r="S165" s="26" t="n">
        <x:v>0.010629251700680267</x:v>
      </x:c>
      <x:c r="T165" s="26" t="n">
        <x:v>-0.03805165058053861</x:v>
      </x:c>
      <x:c r="U165" s="26" t="n">
        <x:v>0.059310153981899136</x:v>
      </x:c>
      <x:c r="V165" s="26" t="n">
        <x:v>0.33434121018912744</x:v>
      </x:c>
      <x:c r="W165" s="26" t="n">
        <x:v>0.2005867357142857</x:v>
      </x:c>
      <x:c r="X165" s="26" t="n">
        <x:v>-0.07461648397377324</x:v>
      </x:c>
      <x:c r="Y165" s="26" t="n">
        <x:v>0.47578995540234464</x:v>
      </x:c>
      <x:c r="Z165" s="26" t="n">
        <x:v>0.07656239555925776</x:v>
      </x:c>
      <x:c r="AA165" s="26" t="n">
        <x:v>0.10714285714285714</x:v>
      </x:c>
      <x:c r="AB165" s="26" t="n">
        <x:v>0.10714285714285714</x:v>
      </x:c>
      <x:c r="AC165" s="39" t="b">
        <x:v>1</x:v>
      </x:c>
      <x:c r="AD165" s="39" t="b">
        <x:v>1</x:v>
      </x:c>
      <x:c r="AE165" s="39" t="b">
        <x:v>0</x:v>
      </x:c>
      <x:c r="AF165" s="26" t="n">
        <x:v>0.0074248120300751865</x:v>
      </x:c>
      <x:c r="AG165" s="26" t="n">
        <x:v>0.2005867357142857</x:v>
      </x:c>
      <x:c r="AH165" s="26" t="n">
        <x:v>178</x:v>
      </x:c>
      <x:c r="AI165" s="26"/>
      <x:c r="AJ165" s="26" t="str">
        <x:v>추가 실험 필요</x:v>
      </x:c>
      <x:c r="AK165" s="27" t="str">
        <x:v>평균 효과 방향은 모두 양수이나 표본 또는 신뢰구간 기준을 통과하지 못함</x:v>
      </x:c>
    </x:row>
    <x:row r="166">
      <x:c r="A166" s="25" t="str">
        <x:v>FLORAL</x:v>
      </x:c>
      <x:c r="B166" s="26" t="str">
        <x:v>ROSES</x:v>
      </x:c>
      <x:c r="C166" s="26" t="n">
        <x:v>7</x:v>
      </x:c>
      <x:c r="D166" s="26" t="n">
        <x:v>33</x:v>
      </x:c>
      <x:c r="E166" s="26" t="n">
        <x:v>41</x:v>
      </x:c>
      <x:c r="F166" s="26" t="n">
        <x:v>0.028571428571428574</x:v>
      </x:c>
      <x:c r="G166" s="26" t="n">
        <x:v>-0.027428571428571427</x:v>
      </x:c>
      <x:c r="H166" s="26" t="n">
        <x:v>0.08457142857142858</x:v>
      </x:c>
      <x:c r="I166" s="26" t="n">
        <x:v>0.15865525393145705</x:v>
      </x:c>
      <x:c r="J166" s="26" t="n">
        <x:v>0.3711428571428571</x:v>
      </x:c>
      <x:c r="K166" s="26" t="n">
        <x:v>-0.35629714285714276</x:v>
      </x:c>
      <x:c r="L166" s="26" t="n">
        <x:v>1.098582857142857</x:v>
      </x:c>
      <x:c r="M166" s="26" t="n">
        <x:v>0.15865525393145705</x:v>
      </x:c>
      <x:c r="N166" s="26" t="n">
        <x:v>0.14285714285714285</x:v>
      </x:c>
      <x:c r="O166" s="26" t="n">
        <x:v>0.14285714285714285</x:v>
      </x:c>
      <x:c r="P166" s="26" t="n">
        <x:v>6</x:v>
      </x:c>
      <x:c r="Q166" s="26" t="n">
        <x:v>92</x:v>
      </x:c>
      <x:c r="R166" s="26" t="n">
        <x:v>99</x:v>
      </x:c>
      <x:c r="S166" s="26" t="n">
        <x:v>0.0111111111111111</x:v>
      </x:c>
      <x:c r="T166" s="26" t="n">
        <x:v>-0.01066666666666665</x:v>
      </x:c>
      <x:c r="U166" s="26" t="n">
        <x:v>0.03288888888888885</x:v>
      </x:c>
      <x:c r="V166" s="26" t="n">
        <x:v>0.158655253931457</x:v>
      </x:c>
      <x:c r="W166" s="26" t="n">
        <x:v>0.111</x:v>
      </x:c>
      <x:c r="X166" s="26" t="n">
        <x:v>-0.10656000000000009</x:v>
      </x:c>
      <x:c r="Y166" s="26" t="n">
        <x:v>0.3285600000000001</x:v>
      </x:c>
      <x:c r="Z166" s="26" t="n">
        <x:v>0.15865525393145716</x:v>
      </x:c>
      <x:c r="AA166" s="26" t="n">
        <x:v>0.16666666666666666</x:v>
      </x:c>
      <x:c r="AB166" s="26" t="n">
        <x:v>0.16666666666666666</x:v>
      </x:c>
      <x:c r="AC166" s="39" t="b">
        <x:v>1</x:v>
      </x:c>
      <x:c r="AD166" s="39" t="b">
        <x:v>1</x:v>
      </x:c>
      <x:c r="AE166" s="39" t="b">
        <x:v>0</x:v>
      </x:c>
      <x:c r="AF166" s="26" t="n">
        <x:v>0.0111111111111111</x:v>
      </x:c>
      <x:c r="AG166" s="26" t="n">
        <x:v>0.111</x:v>
      </x:c>
      <x:c r="AH166" s="26" t="n">
        <x:v>41</x:v>
      </x:c>
      <x:c r="AI166" s="26"/>
      <x:c r="AJ166" s="26" t="str">
        <x:v>추가 실험 필요</x:v>
      </x:c>
      <x:c r="AK166" s="27" t="str">
        <x:v>평균 효과 방향은 모두 양수이나 표본 또는 신뢰구간 기준을 통과하지 못함</x:v>
      </x:c>
    </x:row>
    <x:row r="167">
      <x:c r="A167" s="25" t="str">
        <x:v>SEAFOOD</x:v>
      </x:c>
      <x:c r="B167" s="26" t="str">
        <x:v>SEAFOOD - FROZEN</x:v>
      </x:c>
      <x:c r="C167" s="26" t="n">
        <x:v>8</x:v>
      </x:c>
      <x:c r="D167" s="26" t="n">
        <x:v>203</x:v>
      </x:c>
      <x:c r="E167" s="26" t="n">
        <x:v>304</x:v>
      </x:c>
      <x:c r="F167" s="26" t="n">
        <x:v>0.006349206349206337</x:v>
      </x:c>
      <x:c r="G167" s="26" t="n">
        <x:v>-0.001882019951883484</x:v>
      </x:c>
      <x:c r="H167" s="26" t="n">
        <x:v>0.014580432650296158</x:v>
      </x:c>
      <x:c r="I167" s="26" t="n">
        <x:v>0.06528500905786813</x:v>
      </x:c>
      <x:c r="J167" s="26" t="n">
        <x:v>0.10662698375</x:v>
      </x:c>
      <x:c r="K167" s="26" t="n">
        <x:v>-0.06594037819337524</x:v>
      </x:c>
      <x:c r="L167" s="26" t="n">
        <x:v>0.27919434569337526</x:v>
      </x:c>
      <x:c r="M167" s="26" t="n">
        <x:v>0.11293680602527467</x:v>
      </x:c>
      <x:c r="N167" s="26" t="n">
        <x:v>0.25</x:v>
      </x:c>
      <x:c r="O167" s="26" t="n">
        <x:v>0.25</x:v>
      </x:c>
      <x:c r="P167" s="26" t="n">
        <x:v>6</x:v>
      </x:c>
      <x:c r="Q167" s="26" t="n">
        <x:v>56</x:v>
      </x:c>
      <x:c r="R167" s="26" t="n">
        <x:v>56</x:v>
      </x:c>
      <x:c r="S167" s="26" t="n">
        <x:v>0.016666666666666666</x:v>
      </x:c>
      <x:c r="T167" s="26" t="n">
        <x:v>-0.016000000000000004</x:v>
      </x:c>
      <x:c r="U167" s="26" t="n">
        <x:v>0.04933333333333334</x:v>
      </x:c>
      <x:c r="V167" s="26" t="n">
        <x:v>0.15865525393145713</x:v>
      </x:c>
      <x:c r="W167" s="26" t="n">
        <x:v>0.08316666333333333</x:v>
      </x:c>
      <x:c r="X167" s="26" t="n">
        <x:v>-0.07983999680000003</x:v>
      </x:c>
      <x:c r="Y167" s="26" t="n">
        <x:v>0.2461733234666667</x:v>
      </x:c>
      <x:c r="Z167" s="26" t="n">
        <x:v>0.15865525393145713</x:v>
      </x:c>
      <x:c r="AA167" s="26" t="n">
        <x:v>0.16666666666666666</x:v>
      </x:c>
      <x:c r="AB167" s="26" t="n">
        <x:v>0.16666666666666666</x:v>
      </x:c>
      <x:c r="AC167" s="39" t="b">
        <x:v>1</x:v>
      </x:c>
      <x:c r="AD167" s="39" t="b">
        <x:v>1</x:v>
      </x:c>
      <x:c r="AE167" s="39" t="b">
        <x:v>0</x:v>
      </x:c>
      <x:c r="AF167" s="26" t="n">
        <x:v>0.006349206349206337</x:v>
      </x:c>
      <x:c r="AG167" s="26" t="n">
        <x:v>0.08316666333333333</x:v>
      </x:c>
      <x:c r="AH167" s="26" t="n">
        <x:v>56</x:v>
      </x:c>
      <x:c r="AI167" s="26"/>
      <x:c r="AJ167" s="26" t="str">
        <x:v>추가 실험 필요</x:v>
      </x:c>
      <x:c r="AK167" s="27" t="str">
        <x:v>평균 효과 방향은 모두 양수이나 표본 또는 신뢰구간 기준을 통과하지 못함</x:v>
      </x:c>
    </x:row>
    <x:row r="168">
      <x:c r="A168" s="25" t="str">
        <x:v>MEAT</x:v>
      </x:c>
      <x:c r="B168" s="26" t="str">
        <x:v>BEEF</x:v>
      </x:c>
      <x:c r="C168" s="26" t="n">
        <x:v>13</x:v>
      </x:c>
      <x:c r="D168" s="26" t="n">
        <x:v>155</x:v>
      </x:c>
      <x:c r="E168" s="26" t="n">
        <x:v>439</x:v>
      </x:c>
      <x:c r="F168" s="26" t="n">
        <x:v>0.013983763983763978</x:v>
      </x:c>
      <x:c r="G168" s="26" t="n">
        <x:v>-0.011057728877211818</x:v>
      </x:c>
      <x:c r="H168" s="26" t="n">
        <x:v>0.03902525684473977</x:v>
      </x:c>
      <x:c r="I168" s="26" t="n">
        <x:v>0.13686556771440034</x:v>
      </x:c>
      <x:c r="J168" s="26" t="n">
        <x:v>0.19423818923076921</x:v>
      </x:c>
      <x:c r="K168" s="26" t="n">
        <x:v>-0.15383667251301095</x:v>
      </x:c>
      <x:c r="L168" s="26" t="n">
        <x:v>0.5423130509745494</x:v>
      </x:c>
      <x:c r="M168" s="26" t="n">
        <x:v>0.13703233766840858</x:v>
      </x:c>
      <x:c r="N168" s="26" t="n">
        <x:v>0.15384615384615385</x:v>
      </x:c>
      <x:c r="O168" s="26" t="n">
        <x:v>0.15384615384615385</x:v>
      </x:c>
      <x:c r="P168" s="26" t="n">
        <x:v>24</x:v>
      </x:c>
      <x:c r="Q168" s="26" t="n">
        <x:v>428</x:v>
      </x:c>
      <x:c r="R168" s="26" t="n">
        <x:v>699</x:v>
      </x:c>
      <x:c r="S168" s="26" t="n">
        <x:v>0.02403204035237283</x:v>
      </x:c>
      <x:c r="T168" s="26" t="n">
        <x:v>-0.011549111236580631</x:v>
      </x:c>
      <x:c r="U168" s="26" t="n">
        <x:v>0.05961319194132629</x:v>
      </x:c>
      <x:c r="V168" s="26" t="n">
        <x:v>0.09278254115125176</x:v>
      </x:c>
      <x:c r="W168" s="26" t="n">
        <x:v>0.08196388766666667</x:v>
      </x:c>
      <x:c r="X168" s="26" t="n">
        <x:v>-0.08437816519936457</x:v>
      </x:c>
      <x:c r="Y168" s="26" t="n">
        <x:v>0.2483059405326979</x:v>
      </x:c>
      <x:c r="Z168" s="26" t="n">
        <x:v>0.1670780538357582</x:v>
      </x:c>
      <x:c r="AA168" s="26" t="n">
        <x:v>0.16666666666666666</x:v>
      </x:c>
      <x:c r="AB168" s="26" t="n">
        <x:v>0.20833333333333334</x:v>
      </x:c>
      <x:c r="AC168" s="39" t="b">
        <x:v>1</x:v>
      </x:c>
      <x:c r="AD168" s="39" t="b">
        <x:v>1</x:v>
      </x:c>
      <x:c r="AE168" s="39" t="b">
        <x:v>0</x:v>
      </x:c>
      <x:c r="AF168" s="26" t="n">
        <x:v>0.013983763983763978</x:v>
      </x:c>
      <x:c r="AG168" s="26" t="n">
        <x:v>0.08196388766666667</x:v>
      </x:c>
      <x:c r="AH168" s="26" t="n">
        <x:v>439</x:v>
      </x:c>
      <x:c r="AI168" s="26"/>
      <x:c r="AJ168" s="26" t="str">
        <x:v>추가 실험 필요</x:v>
      </x:c>
      <x:c r="AK168" s="27" t="str">
        <x:v>평균 효과 방향은 모두 양수이나 표본 또는 신뢰구간 기준을 통과하지 못함</x:v>
      </x:c>
    </x:row>
    <x:row r="169">
      <x:c r="A169" s="25" t="str">
        <x:v>GROCERY</x:v>
      </x:c>
      <x:c r="B169" s="26" t="str">
        <x:v>PAPER TOWELS</x:v>
      </x:c>
      <x:c r="C169" s="26" t="n">
        <x:v>55</x:v>
      </x:c>
      <x:c r="D169" s="26" t="n">
        <x:v>2504</x:v>
      </x:c>
      <x:c r="E169" s="26" t="n">
        <x:v>5854</x:v>
      </x:c>
      <x:c r="F169" s="26" t="n">
        <x:v>0.02716620412756318</x:v>
      </x:c>
      <x:c r="G169" s="26" t="n">
        <x:v>0.004504313789837351</x:v>
      </x:c>
      <x:c r="H169" s="26" t="n">
        <x:v>0.04982809446528901</x:v>
      </x:c>
      <x:c r="I169" s="26" t="n">
        <x:v>0.009397485330617676</x:v>
      </x:c>
      <x:c r="J169" s="26" t="n">
        <x:v>0.10390141195163635</x:v>
      </x:c>
      <x:c r="K169" s="26" t="n">
        <x:v>0.02452733056070862</x:v>
      </x:c>
      <x:c r="L169" s="26" t="n">
        <x:v>0.1832754933425641</x:v>
      </x:c>
      <x:c r="M169" s="26" t="n">
        <x:v>0.005149011591514974</x:v>
      </x:c>
      <x:c r="N169" s="26" t="n">
        <x:v>0.2545454545454545</x:v>
      </x:c>
      <x:c r="O169" s="26" t="n">
        <x:v>0.2909090909090909</x:v>
      </x:c>
      <x:c r="P169" s="26" t="n">
        <x:v>31</x:v>
      </x:c>
      <x:c r="Q169" s="26" t="n">
        <x:v>1738</x:v>
      </x:c>
      <x:c r="R169" s="26" t="n">
        <x:v>2697</x:v>
      </x:c>
      <x:c r="S169" s="26" t="n">
        <x:v>0.009499358956552443</x:v>
      </x:c>
      <x:c r="T169" s="26" t="n">
        <x:v>-0.0008398630688545624</x:v>
      </x:c>
      <x:c r="U169" s="26" t="n">
        <x:v>0.019838580981959446</x:v>
      </x:c>
      <x:c r="V169" s="26" t="n">
        <x:v>0.03586817640415608</x:v>
      </x:c>
      <x:c r="W169" s="26" t="n">
        <x:v>0.06926236796774193</x:v>
      </x:c>
      <x:c r="X169" s="26" t="n">
        <x:v>-0.009017157768706166</x:v>
      </x:c>
      <x:c r="Y169" s="26" t="n">
        <x:v>0.14754189370419002</x:v>
      </x:c>
      <x:c r="Z169" s="26" t="n">
        <x:v>0.041439162920453694</x:v>
      </x:c>
      <x:c r="AA169" s="26" t="n">
        <x:v>0.22580645161290322</x:v>
      </x:c>
      <x:c r="AB169" s="26" t="n">
        <x:v>0.22580645161290322</x:v>
      </x:c>
      <x:c r="AC169" s="39" t="b">
        <x:v>1</x:v>
      </x:c>
      <x:c r="AD169" s="39" t="b">
        <x:v>1</x:v>
      </x:c>
      <x:c r="AE169" s="39" t="b">
        <x:v>0</x:v>
      </x:c>
      <x:c r="AF169" s="26" t="n">
        <x:v>0.009499358956552443</x:v>
      </x:c>
      <x:c r="AG169" s="26" t="n">
        <x:v>0.06926236796774193</x:v>
      </x:c>
      <x:c r="AH169" s="26" t="n">
        <x:v>2697</x:v>
      </x:c>
      <x:c r="AI169" s="26"/>
      <x:c r="AJ169" s="26" t="str">
        <x:v>추가 실험 필요</x:v>
      </x:c>
      <x:c r="AK169" s="27" t="str">
        <x:v>평균 효과 방향은 모두 양수이나 표본 또는 신뢰구간 기준을 통과하지 못함</x:v>
      </x:c>
    </x:row>
    <x:row r="170">
      <x:c r="A170" s="25" t="str">
        <x:v>GROCERY</x:v>
      </x:c>
      <x:c r="B170" s="26" t="str">
        <x:v>SUGARS/SWEETNERS</x:v>
      </x:c>
      <x:c r="C170" s="26" t="n">
        <x:v>30</x:v>
      </x:c>
      <x:c r="D170" s="26" t="n">
        <x:v>1521</x:v>
      </x:c>
      <x:c r="E170" s="26" t="n">
        <x:v>3857</x:v>
      </x:c>
      <x:c r="F170" s="26" t="n">
        <x:v>0.041137505504601254</x:v>
      </x:c>
      <x:c r="G170" s="26" t="n">
        <x:v>-0.02420061978665508</x:v>
      </x:c>
      <x:c r="H170" s="26" t="n">
        <x:v>0.10647563079585759</x:v>
      </x:c>
      <x:c r="I170" s="26" t="n">
        <x:v>0.10859499583610553</x:v>
      </x:c>
      <x:c r="J170" s="26" t="n">
        <x:v>0.301824636</x:v>
      </x:c>
      <x:c r="K170" s="26" t="n">
        <x:v>-0.2186351530442161</x:v>
      </x:c>
      <x:c r="L170" s="26" t="n">
        <x:v>0.8222844250442161</x:v>
      </x:c>
      <x:c r="M170" s="26" t="n">
        <x:v>0.12784405528455453</x:v>
      </x:c>
      <x:c r="N170" s="26" t="n">
        <x:v>0.16666666666666666</x:v>
      </x:c>
      <x:c r="O170" s="26" t="n">
        <x:v>0.23333333333333334</x:v>
      </x:c>
      <x:c r="P170" s="26" t="n">
        <x:v>15</x:v>
      </x:c>
      <x:c r="Q170" s="26" t="n">
        <x:v>409</x:v>
      </x:c>
      <x:c r="R170" s="26" t="n">
        <x:v>482</x:v>
      </x:c>
      <x:c r="S170" s="26" t="n">
        <x:v>0.0216704552077869</x:v>
      </x:c>
      <x:c r="T170" s="26" t="n">
        <x:v>-0.00702882478369924</x:v>
      </x:c>
      <x:c r="U170" s="26" t="n">
        <x:v>0.05036973519927304</x:v>
      </x:c>
      <x:c r="V170" s="26" t="n">
        <x:v>0.06944053907626767</x:v>
      </x:c>
      <x:c r="W170" s="26" t="n">
        <x:v>0.05748452686666667</x:v>
      </x:c>
      <x:c r="X170" s="26" t="n">
        <x:v>-0.013749140030436612</x:v>
      </x:c>
      <x:c r="Y170" s="26" t="n">
        <x:v>0.12871819376376994</x:v>
      </x:c>
      <x:c r="Z170" s="26" t="n">
        <x:v>0.056860027546580504</x:v>
      </x:c>
      <x:c r="AA170" s="26" t="n">
        <x:v>0.2</x:v>
      </x:c>
      <x:c r="AB170" s="26" t="n">
        <x:v>0.2</x:v>
      </x:c>
      <x:c r="AC170" s="39" t="b">
        <x:v>1</x:v>
      </x:c>
      <x:c r="AD170" s="39" t="b">
        <x:v>1</x:v>
      </x:c>
      <x:c r="AE170" s="39" t="b">
        <x:v>0</x:v>
      </x:c>
      <x:c r="AF170" s="26" t="n">
        <x:v>0.0216704552077869</x:v>
      </x:c>
      <x:c r="AG170" s="26" t="n">
        <x:v>0.05748452686666667</x:v>
      </x:c>
      <x:c r="AH170" s="26" t="n">
        <x:v>482</x:v>
      </x:c>
      <x:c r="AI170" s="26"/>
      <x:c r="AJ170" s="26" t="str">
        <x:v>추가 실험 필요</x:v>
      </x:c>
      <x:c r="AK170" s="27" t="str">
        <x:v>평균 효과 방향은 모두 양수이나 표본 또는 신뢰구간 기준을 통과하지 못함</x:v>
      </x:c>
    </x:row>
    <x:row r="171">
      <x:c r="A171" s="25" t="str">
        <x:v>PASTRY</x:v>
      </x:c>
      <x:c r="B171" s="26" t="str">
        <x:v>BREAKFAST SWEETS</x:v>
      </x:c>
      <x:c r="C171" s="26" t="n">
        <x:v>47</x:v>
      </x:c>
      <x:c r="D171" s="26" t="n">
        <x:v>426</x:v>
      </x:c>
      <x:c r="E171" s="26" t="n">
        <x:v>1081</x:v>
      </x:c>
      <x:c r="F171" s="26" t="n">
        <x:v>0.026842026641130678</x:v>
      </x:c>
      <x:c r="G171" s="26" t="n">
        <x:v>-0.01737688554226226</x:v>
      </x:c>
      <x:c r="H171" s="26" t="n">
        <x:v>0.07106093882452362</x:v>
      </x:c>
      <x:c r="I171" s="26" t="n">
        <x:v>0.11706823713782083</x:v>
      </x:c>
      <x:c r="J171" s="26" t="n">
        <x:v>0.07127237991489363</x:v>
      </x:c>
      <x:c r="K171" s="26" t="n">
        <x:v>-0.04606248819592573</x:v>
      </x:c>
      <x:c r="L171" s="26" t="n">
        <x:v>0.188607248025713</x:v>
      </x:c>
      <x:c r="M171" s="26" t="n">
        <x:v>0.11691374350001577</x:v>
      </x:c>
      <x:c r="N171" s="26" t="n">
        <x:v>0.2127659574468085</x:v>
      </x:c>
      <x:c r="O171" s="26" t="n">
        <x:v>0.2127659574468085</x:v>
      </x:c>
      <x:c r="P171" s="26" t="n">
        <x:v>20</x:v>
      </x:c>
      <x:c r="Q171" s="26" t="n">
        <x:v>370</x:v>
      </x:c>
      <x:c r="R171" s="26" t="n">
        <x:v>747</x:v>
      </x:c>
      <x:c r="S171" s="26" t="n">
        <x:v>0.031203702698267916</x:v>
      </x:c>
      <x:c r="T171" s="26" t="n">
        <x:v>-0.0006253460866118207</x:v>
      </x:c>
      <x:c r="U171" s="26" t="n">
        <x:v>0.06303275148314766</x:v>
      </x:c>
      <x:c r="V171" s="26" t="n">
        <x:v>0.02733486551148719</x:v>
      </x:c>
      <x:c r="W171" s="26" t="n">
        <x:v>0.050198524300000005</x:v>
      </x:c>
      <x:c r="X171" s="26" t="n">
        <x:v>0.00451593891014998</x:v>
      </x:c>
      <x:c r="Y171" s="26" t="n">
        <x:v>0.09588110968985003</x:v>
      </x:c>
      <x:c r="Z171" s="26" t="n">
        <x:v>0.015629685814612236</x:v>
      </x:c>
      <x:c r="AA171" s="26" t="n">
        <x:v>0.3</x:v>
      </x:c>
      <x:c r="AB171" s="26" t="n">
        <x:v>0.4</x:v>
      </x:c>
      <x:c r="AC171" s="39" t="b">
        <x:v>1</x:v>
      </x:c>
      <x:c r="AD171" s="39" t="b">
        <x:v>1</x:v>
      </x:c>
      <x:c r="AE171" s="39" t="b">
        <x:v>0</x:v>
      </x:c>
      <x:c r="AF171" s="26" t="n">
        <x:v>0.026842026641130678</x:v>
      </x:c>
      <x:c r="AG171" s="26" t="n">
        <x:v>0.050198524300000005</x:v>
      </x:c>
      <x:c r="AH171" s="26" t="n">
        <x:v>747</x:v>
      </x:c>
      <x:c r="AI171" s="26"/>
      <x:c r="AJ171" s="26" t="str">
        <x:v>추가 실험 필요</x:v>
      </x:c>
      <x:c r="AK171" s="27" t="str">
        <x:v>평균 효과 방향은 모두 양수이나 표본 또는 신뢰구간 기준을 통과하지 못함</x:v>
      </x:c>
    </x:row>
    <x:row r="172">
      <x:c r="A172" s="25" t="str">
        <x:v>GROCERY</x:v>
      </x:c>
      <x:c r="B172" s="26" t="str">
        <x:v>BUTTER</x:v>
      </x:c>
      <x:c r="C172" s="26" t="n">
        <x:v>28</x:v>
      </x:c>
      <x:c r="D172" s="26" t="n">
        <x:v>1387</x:v>
      </x:c>
      <x:c r="E172" s="26" t="n">
        <x:v>5138</x:v>
      </x:c>
      <x:c r="F172" s="26" t="n">
        <x:v>0.06182011120638627</x:v>
      </x:c>
      <x:c r="G172" s="26" t="n">
        <x:v>-0.010002287874645792</x:v>
      </x:c>
      <x:c r="H172" s="26" t="n">
        <x:v>0.13364251028741833</x:v>
      </x:c>
      <x:c r="I172" s="26" t="n">
        <x:v>0.045797619161505154</x:v>
      </x:c>
      <x:c r="J172" s="26" t="n">
        <x:v>0.18383478214285714</x:v>
      </x:c>
      <x:c r="K172" s="26" t="n">
        <x:v>-0.0071046520254747225</x:v>
      </x:c>
      <x:c r="L172" s="26" t="n">
        <x:v>0.374774216311189</x:v>
      </x:c>
      <x:c r="M172" s="26" t="n">
        <x:v>0.02957542212146407</x:v>
      </x:c>
      <x:c r="N172" s="26" t="n">
        <x:v>0.21428571428571427</x:v>
      </x:c>
      <x:c r="O172" s="26" t="n">
        <x:v>0.21428571428571427</x:v>
      </x:c>
      <x:c r="P172" s="26" t="n">
        <x:v>28</x:v>
      </x:c>
      <x:c r="Q172" s="26" t="n">
        <x:v>2006</x:v>
      </x:c>
      <x:c r="R172" s="26" t="n">
        <x:v>5142</x:v>
      </x:c>
      <x:c r="S172" s="26" t="n">
        <x:v>0.013727896450725878</x:v>
      </x:c>
      <x:c r="T172" s="26" t="n">
        <x:v>-0.0023533474080110004</x:v>
      </x:c>
      <x:c r="U172" s="26" t="n">
        <x:v>0.02980914030946276</x:v>
      </x:c>
      <x:c r="V172" s="26" t="n">
        <x:v>0.047146780999716746</x:v>
      </x:c>
      <x:c r="W172" s="26" t="n">
        <x:v>0.04270280203571429</x:v>
      </x:c>
      <x:c r="X172" s="26" t="n">
        <x:v>-0.010906202018579128</x:v>
      </x:c>
      <x:c r="Y172" s="26" t="n">
        <x:v>0.09631180609000771</x:v>
      </x:c>
      <x:c r="Z172" s="26" t="n">
        <x:v>0.0592314323321771</x:v>
      </x:c>
      <x:c r="AA172" s="26" t="n">
        <x:v>0.17857142857142858</x:v>
      </x:c>
      <x:c r="AB172" s="26" t="n">
        <x:v>0.14285714285714285</x:v>
      </x:c>
      <x:c r="AC172" s="39" t="b">
        <x:v>1</x:v>
      </x:c>
      <x:c r="AD172" s="39" t="b">
        <x:v>1</x:v>
      </x:c>
      <x:c r="AE172" s="39" t="b">
        <x:v>0</x:v>
      </x:c>
      <x:c r="AF172" s="26" t="n">
        <x:v>0.013727896450725878</x:v>
      </x:c>
      <x:c r="AG172" s="26" t="n">
        <x:v>0.04270280203571429</x:v>
      </x:c>
      <x:c r="AH172" s="26" t="n">
        <x:v>5138</x:v>
      </x:c>
      <x:c r="AI172" s="26"/>
      <x:c r="AJ172" s="26" t="str">
        <x:v>추가 실험 필요</x:v>
      </x:c>
      <x:c r="AK172" s="27" t="str">
        <x:v>평균 효과 방향은 모두 양수이나 표본 또는 신뢰구간 기준을 통과하지 못함</x:v>
      </x:c>
    </x:row>
    <x:row r="173">
      <x:c r="A173" s="25" t="str">
        <x:v>GROCERY</x:v>
      </x:c>
      <x:c r="B173" s="26" t="str">
        <x:v>MISC WINE</x:v>
      </x:c>
      <x:c r="C173" s="26" t="n">
        <x:v>6</x:v>
      </x:c>
      <x:c r="D173" s="26" t="n">
        <x:v>136</x:v>
      </x:c>
      <x:c r="E173" s="26" t="n">
        <x:v>390</x:v>
      </x:c>
      <x:c r="F173" s="26" t="n">
        <x:v>0.006986137169063984</x:v>
      </x:c>
      <x:c r="G173" s="26" t="n">
        <x:v>-0.005401684396363036</x:v>
      </x:c>
      <x:c r="H173" s="26" t="n">
        <x:v>0.019373958734491003</x:v>
      </x:c>
      <x:c r="I173" s="26" t="n">
        <x:v>0.13450484929202577</x:v>
      </x:c>
      <x:c r="J173" s="26" t="n">
        <x:v>0.07986343266666666</x:v>
      </x:c>
      <x:c r="K173" s="26" t="n">
        <x:v>-0.10074272944355712</x:v>
      </x:c>
      <x:c r="L173" s="26" t="n">
        <x:v>0.26046959477689047</x:v>
      </x:c>
      <x:c r="M173" s="26" t="n">
        <x:v>0.19305173503274417</x:v>
      </x:c>
      <x:c r="N173" s="26" t="n">
        <x:v>0.3333333333333333</x:v>
      </x:c>
      <x:c r="O173" s="26" t="n">
        <x:v>0.16666666666666666</x:v>
      </x:c>
      <x:c r="P173" s="26" t="n">
        <x:v>6</x:v>
      </x:c>
      <x:c r="Q173" s="26" t="n">
        <x:v>125</x:v>
      </x:c>
      <x:c r="R173" s="26" t="n">
        <x:v>189</x:v>
      </x:c>
      <x:c r="S173" s="26" t="n">
        <x:v>0.002418582375478933</x:v>
      </x:c>
      <x:c r="T173" s="26" t="n">
        <x:v>-0.022023670034223765</x:v>
      </x:c>
      <x:c r="U173" s="26" t="n">
        <x:v>0.026860834785181628</x:v>
      </x:c>
      <x:c r="V173" s="26" t="n">
        <x:v>0.42310997340687423</x:v>
      </x:c>
      <x:c r="W173" s="26" t="n">
        <x:v>0.04244228666666666</x:v>
      </x:c>
      <x:c r="X173" s="26" t="n">
        <x:v>-0.3152301865342028</x:v>
      </x:c>
      <x:c r="Y173" s="26" t="n">
        <x:v>0.40011475986753614</x:v>
      </x:c>
      <x:c r="Z173" s="26" t="n">
        <x:v>0.40804441135160713</x:v>
      </x:c>
      <x:c r="AA173" s="26" t="n">
        <x:v>0.16666666666666666</x:v>
      </x:c>
      <x:c r="AB173" s="26" t="n">
        <x:v>0.16666666666666666</x:v>
      </x:c>
      <x:c r="AC173" s="39" t="b">
        <x:v>1</x:v>
      </x:c>
      <x:c r="AD173" s="39" t="b">
        <x:v>1</x:v>
      </x:c>
      <x:c r="AE173" s="39" t="b">
        <x:v>0</x:v>
      </x:c>
      <x:c r="AF173" s="26" t="n">
        <x:v>0.002418582375478933</x:v>
      </x:c>
      <x:c r="AG173" s="26" t="n">
        <x:v>0.04244228666666666</x:v>
      </x:c>
      <x:c r="AH173" s="26" t="n">
        <x:v>189</x:v>
      </x:c>
      <x:c r="AI173" s="26"/>
      <x:c r="AJ173" s="26" t="str">
        <x:v>추가 실험 필요</x:v>
      </x:c>
      <x:c r="AK173" s="27" t="str">
        <x:v>평균 효과 방향은 모두 양수이나 표본 또는 신뢰구간 기준을 통과하지 못함</x:v>
      </x:c>
    </x:row>
    <x:row r="174">
      <x:c r="A174" s="25" t="str">
        <x:v>GROCERY</x:v>
      </x:c>
      <x:c r="B174" s="26" t="str">
        <x:v>BATH TISSUES</x:v>
      </x:c>
      <x:c r="C174" s="26" t="n">
        <x:v>89</x:v>
      </x:c>
      <x:c r="D174" s="26" t="n">
        <x:v>4289</x:v>
      </x:c>
      <x:c r="E174" s="26" t="n">
        <x:v>12280</x:v>
      </x:c>
      <x:c r="F174" s="26" t="n">
        <x:v>0.011050906226845762</x:v>
      </x:c>
      <x:c r="G174" s="26" t="n">
        <x:v>-0.0008751650121099474</x:v>
      </x:c>
      <x:c r="H174" s="26" t="n">
        <x:v>0.02297697746580147</x:v>
      </x:c>
      <x:c r="I174" s="26" t="n">
        <x:v>0.0346721273710432</x:v>
      </x:c>
      <x:c r="J174" s="26" t="n">
        <x:v>0.08982538326966291</x:v>
      </x:c>
      <x:c r="K174" s="26" t="n">
        <x:v>-0.0031547693928499626</x:v>
      </x:c>
      <x:c r="L174" s="26" t="n">
        <x:v>0.1828055359321758</x:v>
      </x:c>
      <x:c r="M174" s="26" t="n">
        <x:v>0.029145824037532662</x:v>
      </x:c>
      <x:c r="N174" s="26" t="n">
        <x:v>0.2247191011235955</x:v>
      </x:c>
      <x:c r="O174" s="26" t="n">
        <x:v>0.24719101123595505</x:v>
      </x:c>
      <x:c r="P174" s="26" t="n">
        <x:v>81</x:v>
      </x:c>
      <x:c r="Q174" s="26" t="n">
        <x:v>4273</x:v>
      </x:c>
      <x:c r="R174" s="26" t="n">
        <x:v>9780</x:v>
      </x:c>
      <x:c r="S174" s="26" t="n">
        <x:v>0.0011640334482808444</x:v>
      </x:c>
      <x:c r="T174" s="26" t="n">
        <x:v>-0.026182210043520903</x:v>
      </x:c>
      <x:c r="U174" s="26" t="n">
        <x:v>0.028510276940082593</x:v>
      </x:c>
      <x:c r="V174" s="26" t="n">
        <x:v>0.4667546945036617</x:v>
      </x:c>
      <x:c r="W174" s="26" t="n">
        <x:v>0.03701513054320988</x:v>
      </x:c>
      <x:c r="X174" s="26" t="n">
        <x:v>-0.04387047216251778</x:v>
      </x:c>
      <x:c r="Y174" s="26" t="n">
        <x:v>0.11790073324893754</x:v>
      </x:c>
      <x:c r="Z174" s="26" t="n">
        <x:v>0.1848750601765877</x:v>
      </x:c>
      <x:c r="AA174" s="26" t="n">
        <x:v>0.20987654320987653</x:v>
      </x:c>
      <x:c r="AB174" s="26" t="n">
        <x:v>0.20987654320987653</x:v>
      </x:c>
      <x:c r="AC174" s="39" t="b">
        <x:v>1</x:v>
      </x:c>
      <x:c r="AD174" s="39" t="b">
        <x:v>1</x:v>
      </x:c>
      <x:c r="AE174" s="39" t="b">
        <x:v>0</x:v>
      </x:c>
      <x:c r="AF174" s="26" t="n">
        <x:v>0.0011640334482808444</x:v>
      </x:c>
      <x:c r="AG174" s="26" t="n">
        <x:v>0.03701513054320988</x:v>
      </x:c>
      <x:c r="AH174" s="26" t="n">
        <x:v>9780</x:v>
      </x:c>
      <x:c r="AI174" s="26"/>
      <x:c r="AJ174" s="26" t="str">
        <x:v>추가 실험 필요</x:v>
      </x:c>
      <x:c r="AK174" s="27" t="str">
        <x:v>평균 효과 방향은 모두 양수이나 표본 또는 신뢰구간 기준을 통과하지 못함</x:v>
      </x:c>
    </x:row>
    <x:row r="175">
      <x:c r="A175" s="25" t="str">
        <x:v>MEAT</x:v>
      </x:c>
      <x:c r="B175" s="26" t="str">
        <x:v>CHICKEN</x:v>
      </x:c>
      <x:c r="C175" s="26" t="n">
        <x:v>4</x:v>
      </x:c>
      <x:c r="D175" s="26" t="n">
        <x:v>80</x:v>
      </x:c>
      <x:c r="E175" s="26" t="n">
        <x:v>156</x:v>
      </x:c>
      <x:c r="F175" s="26" t="n">
        <x:v>0.014534883720930225</x:v>
      </x:c>
      <x:c r="G175" s="26" t="n">
        <x:v>-0.013953488372093014</x:v>
      </x:c>
      <x:c r="H175" s="26" t="n">
        <x:v>0.043023255813953463</x:v>
      </x:c>
      <x:c r="I175" s="26" t="n">
        <x:v>0.15865525393145705</x:v>
      </x:c>
      <x:c r="J175" s="26" t="n">
        <x:v>0.10159883</x:v>
      </x:c>
      <x:c r="K175" s="26" t="n">
        <x:v>-0.0975348768</x:v>
      </x:c>
      <x:c r="L175" s="26" t="n">
        <x:v>0.3007325368</x:v>
      </x:c>
      <x:c r="M175" s="26" t="n">
        <x:v>0.15865525393145705</x:v>
      </x:c>
      <x:c r="N175" s="26" t="n">
        <x:v>0.25</x:v>
      </x:c>
      <x:c r="O175" s="26" t="n">
        <x:v>0.25</x:v>
      </x:c>
      <x:c r="P175" s="26" t="n">
        <x:v>7</x:v>
      </x:c>
      <x:c r="Q175" s="26" t="n">
        <x:v>72</x:v>
      </x:c>
      <x:c r="R175" s="26" t="n">
        <x:v>78</x:v>
      </x:c>
      <x:c r="S175" s="26" t="n">
        <x:v>0.0052910052910052855</x:v>
      </x:c>
      <x:c r="T175" s="26" t="n">
        <x:v>-0.005079365079365074</x:v>
      </x:c>
      <x:c r="U175" s="26" t="n">
        <x:v>0.015661375661375647</x:v>
      </x:c>
      <x:c r="V175" s="26" t="n">
        <x:v>0.15865525393145705</x:v>
      </x:c>
      <x:c r="W175" s="26" t="n">
        <x:v>0.036984124285714286</x:v>
      </x:c>
      <x:c r="X175" s="26" t="n">
        <x:v>-0.03550475931428571</x:v>
      </x:c>
      <x:c r="Y175" s="26" t="n">
        <x:v>0.10947300788571429</x:v>
      </x:c>
      <x:c r="Z175" s="26" t="n">
        <x:v>0.15865525393145705</x:v>
      </x:c>
      <x:c r="AA175" s="26" t="n">
        <x:v>0.14285714285714285</x:v>
      </x:c>
      <x:c r="AB175" s="26" t="n">
        <x:v>0.14285714285714285</x:v>
      </x:c>
      <x:c r="AC175" s="39" t="b">
        <x:v>1</x:v>
      </x:c>
      <x:c r="AD175" s="39" t="b">
        <x:v>1</x:v>
      </x:c>
      <x:c r="AE175" s="39" t="b">
        <x:v>0</x:v>
      </x:c>
      <x:c r="AF175" s="26" t="n">
        <x:v>0.0052910052910052855</x:v>
      </x:c>
      <x:c r="AG175" s="26" t="n">
        <x:v>0.036984124285714286</x:v>
      </x:c>
      <x:c r="AH175" s="26" t="n">
        <x:v>78</x:v>
      </x:c>
      <x:c r="AI175" s="26"/>
      <x:c r="AJ175" s="26" t="str">
        <x:v>추가 실험 필요</x:v>
      </x:c>
      <x:c r="AK175" s="27" t="str">
        <x:v>평균 효과 방향은 모두 양수이나 표본 또는 신뢰구간 기준을 통과하지 못함</x:v>
      </x:c>
    </x:row>
    <x:row r="176">
      <x:c r="A176" s="25" t="str">
        <x:v>DELI</x:v>
      </x:c>
      <x:c r="B176" s="26" t="str">
        <x:v>PREPARED FOOD</x:v>
      </x:c>
      <x:c r="C176" s="26" t="n">
        <x:v>28</x:v>
      </x:c>
      <x:c r="D176" s="26" t="n">
        <x:v>185</x:v>
      </x:c>
      <x:c r="E176" s="26" t="n">
        <x:v>442</x:v>
      </x:c>
      <x:c r="F176" s="26" t="n">
        <x:v>0.008467657896491924</x:v>
      </x:c>
      <x:c r="G176" s="26" t="n">
        <x:v>-0.004092745101427651</x:v>
      </x:c>
      <x:c r="H176" s="26" t="n">
        <x:v>0.021028060894411497</x:v>
      </x:c>
      <x:c r="I176" s="26" t="n">
        <x:v>0.09319339315966801</x:v>
      </x:c>
      <x:c r="J176" s="26" t="n">
        <x:v>0.04056577117857143</x:v>
      </x:c>
      <x:c r="K176" s="26" t="n">
        <x:v>-0.030016963345227778</x:v>
      </x:c>
      <x:c r="L176" s="26" t="n">
        <x:v>0.11114850570237064</x:v>
      </x:c>
      <x:c r="M176" s="26" t="n">
        <x:v>0.12998457900145924</x:v>
      </x:c>
      <x:c r="N176" s="26" t="n">
        <x:v>0.14285714285714285</x:v>
      </x:c>
      <x:c r="O176" s="26" t="n">
        <x:v>0.14285714285714285</x:v>
      </x:c>
      <x:c r="P176" s="26" t="n">
        <x:v>13</x:v>
      </x:c>
      <x:c r="Q176" s="26" t="n">
        <x:v>207</x:v>
      </x:c>
      <x:c r="R176" s="26" t="n">
        <x:v>381</x:v>
      </x:c>
      <x:c r="S176" s="26" t="n">
        <x:v>0.011228465594071254</x:v>
      </x:c>
      <x:c r="T176" s="26" t="n">
        <x:v>-0.011982998578922079</x:v>
      </x:c>
      <x:c r="U176" s="26" t="n">
        <x:v>0.034439929767064587</x:v>
      </x:c>
      <x:c r="V176" s="26" t="n">
        <x:v>0.17152827210930702</x:v>
      </x:c>
      <x:c r="W176" s="26" t="n">
        <x:v>0.03470808461538462</x:v>
      </x:c>
      <x:c r="X176" s="26" t="n">
        <x:v>-0.07014804613290508</x:v>
      </x:c>
      <x:c r="Y176" s="26" t="n">
        <x:v>0.1395642153636743</x:v>
      </x:c>
      <x:c r="Z176" s="26" t="n">
        <x:v>0.2582424962696123</x:v>
      </x:c>
      <x:c r="AA176" s="26" t="n">
        <x:v>0.23076923076923078</x:v>
      </x:c>
      <x:c r="AB176" s="26" t="n">
        <x:v>0.23076923076923078</x:v>
      </x:c>
      <x:c r="AC176" s="39" t="b">
        <x:v>1</x:v>
      </x:c>
      <x:c r="AD176" s="39" t="b">
        <x:v>1</x:v>
      </x:c>
      <x:c r="AE176" s="39" t="b">
        <x:v>0</x:v>
      </x:c>
      <x:c r="AF176" s="26" t="n">
        <x:v>0.008467657896491924</x:v>
      </x:c>
      <x:c r="AG176" s="26" t="n">
        <x:v>0.03470808461538462</x:v>
      </x:c>
      <x:c r="AH176" s="26" t="n">
        <x:v>381</x:v>
      </x:c>
      <x:c r="AI176" s="26"/>
      <x:c r="AJ176" s="26" t="str">
        <x:v>추가 실험 필요</x:v>
      </x:c>
      <x:c r="AK176" s="27" t="str">
        <x:v>평균 효과 방향은 모두 양수이나 표본 또는 신뢰구간 기준을 통과하지 못함</x:v>
      </x:c>
    </x:row>
    <x:row r="177">
      <x:c r="A177" s="25" t="str">
        <x:v>MEAT-PCKGD</x:v>
      </x:c>
      <x:c r="B177" s="26" t="str">
        <x:v>HOT DOGS</x:v>
      </x:c>
      <x:c r="C177" s="26" t="n">
        <x:v>63</x:v>
      </x:c>
      <x:c r="D177" s="26" t="n">
        <x:v>2470</x:v>
      </x:c>
      <x:c r="E177" s="26" t="n">
        <x:v>7929</x:v>
      </x:c>
      <x:c r="F177" s="26" t="n">
        <x:v>0.023525910123944522</x:v>
      </x:c>
      <x:c r="G177" s="26" t="n">
        <x:v>0.008722138744678533</x:v>
      </x:c>
      <x:c r="H177" s="26" t="n">
        <x:v>0.03832968150321051</x:v>
      </x:c>
      <x:c r="I177" s="26" t="n">
        <x:v>0.0009203490361923384</x:v>
      </x:c>
      <x:c r="J177" s="26" t="n">
        <x:v>0.08626547125396825</x:v>
      </x:c>
      <x:c r="K177" s="26" t="n">
        <x:v>0.029414902605836762</x:v>
      </x:c>
      <x:c r="L177" s="26" t="n">
        <x:v>0.14311603990209973</x:v>
      </x:c>
      <x:c r="M177" s="26" t="n">
        <x:v>0.0014691582516450292</x:v>
      </x:c>
      <x:c r="N177" s="26" t="n">
        <x:v>0.3968253968253968</x:v>
      </x:c>
      <x:c r="O177" s="26" t="n">
        <x:v>0.36507936507936506</x:v>
      </x:c>
      <x:c r="P177" s="26" t="n">
        <x:v>55</x:v>
      </x:c>
      <x:c r="Q177" s="26" t="n">
        <x:v>4036</x:v>
      </x:c>
      <x:c r="R177" s="26" t="n">
        <x:v>13140</x:v>
      </x:c>
      <x:c r="S177" s="26" t="n">
        <x:v>0.01061614882360106</x:v>
      </x:c>
      <x:c r="T177" s="26" t="n">
        <x:v>-0.004443268439598377</x:v>
      </x:c>
      <x:c r="U177" s="26" t="n">
        <x:v>0.025675566086800494</x:v>
      </x:c>
      <x:c r="V177" s="26" t="n">
        <x:v>0.0835313576820596</x:v>
      </x:c>
      <x:c r="W177" s="26" t="n">
        <x:v>0.029031347909090906</x:v>
      </x:c>
      <x:c r="X177" s="26" t="n">
        <x:v>-0.009504388058792362</x:v>
      </x:c>
      <x:c r="Y177" s="26" t="n">
        <x:v>0.06756708387697417</x:v>
      </x:c>
      <x:c r="Z177" s="26" t="n">
        <x:v>0.06989292779666527</x:v>
      </x:c>
      <x:c r="AA177" s="26" t="n">
        <x:v>0.32727272727272727</x:v>
      </x:c>
      <x:c r="AB177" s="26" t="n">
        <x:v>0.32727272727272727</x:v>
      </x:c>
      <x:c r="AC177" s="39" t="b">
        <x:v>1</x:v>
      </x:c>
      <x:c r="AD177" s="39" t="b">
        <x:v>1</x:v>
      </x:c>
      <x:c r="AE177" s="39" t="b">
        <x:v>0</x:v>
      </x:c>
      <x:c r="AF177" s="26" t="n">
        <x:v>0.01061614882360106</x:v>
      </x:c>
      <x:c r="AG177" s="26" t="n">
        <x:v>0.029031347909090906</x:v>
      </x:c>
      <x:c r="AH177" s="26" t="n">
        <x:v>7929</x:v>
      </x:c>
      <x:c r="AI177" s="26"/>
      <x:c r="AJ177" s="26" t="str">
        <x:v>추가 실험 필요</x:v>
      </x:c>
      <x:c r="AK177" s="27" t="str">
        <x:v>평균 효과 방향은 모두 양수이나 표본 또는 신뢰구간 기준을 통과하지 못함</x:v>
      </x:c>
    </x:row>
    <x:row r="178">
      <x:c r="A178" s="25" t="str">
        <x:v>GROCERY</x:v>
      </x:c>
      <x:c r="B178" s="26" t="str">
        <x:v>PASTA SAUCE</x:v>
      </x:c>
      <x:c r="C178" s="26" t="n">
        <x:v>183</x:v>
      </x:c>
      <x:c r="D178" s="26" t="n">
        <x:v>4870</x:v>
      </x:c>
      <x:c r="E178" s="26" t="n">
        <x:v>8833</x:v>
      </x:c>
      <x:c r="F178" s="26" t="n">
        <x:v>0.009094126085360756</x:v>
      </x:c>
      <x:c r="G178" s="26" t="n">
        <x:v>-0.0024408934687083564</x:v>
      </x:c>
      <x:c r="H178" s="26" t="n">
        <x:v>0.020629145639429868</x:v>
      </x:c>
      <x:c r="I178" s="26" t="n">
        <x:v>0.061142921499190955</x:v>
      </x:c>
      <x:c r="J178" s="26" t="n">
        <x:v>0.060019904704918026</x:v>
      </x:c>
      <x:c r="K178" s="26" t="n">
        <x:v>-0.04743845057560005</x:v>
      </x:c>
      <x:c r="L178" s="26" t="n">
        <x:v>0.16747825998543608</x:v>
      </x:c>
      <x:c r="M178" s="26" t="n">
        <x:v>0.13681517078171038</x:v>
      </x:c>
      <x:c r="N178" s="26" t="n">
        <x:v>0.14207650273224043</x:v>
      </x:c>
      <x:c r="O178" s="26" t="n">
        <x:v>0.14754098360655737</x:v>
      </x:c>
      <x:c r="P178" s="26" t="n">
        <x:v>116</x:v>
      </x:c>
      <x:c r="Q178" s="26" t="n">
        <x:v>1350</x:v>
      </x:c>
      <x:c r="R178" s="26" t="n">
        <x:v>1650</x:v>
      </x:c>
      <x:c r="S178" s="26" t="n">
        <x:v>0.013508280800000346</x:v>
      </x:c>
      <x:c r="T178" s="26" t="n">
        <x:v>-0.004320952454964807</x:v>
      </x:c>
      <x:c r="U178" s="26" t="n">
        <x:v>0.0313375140549655</x:v>
      </x:c>
      <x:c r="V178" s="26" t="n">
        <x:v>0.0687732567929983</x:v>
      </x:c>
      <x:c r="W178" s="26" t="n">
        <x:v>0.02721028567241379</x:v>
      </x:c>
      <x:c r="X178" s="26" t="n">
        <x:v>-0.00668131821204274</x:v>
      </x:c>
      <x:c r="Y178" s="26" t="n">
        <x:v>0.06110188955687032</x:v>
      </x:c>
      <x:c r="Z178" s="26" t="n">
        <x:v>0.05778884342671814</x:v>
      </x:c>
      <x:c r="AA178" s="26" t="n">
        <x:v>0.06896551724137931</x:v>
      </x:c>
      <x:c r="AB178" s="26" t="n">
        <x:v>0.06896551724137931</x:v>
      </x:c>
      <x:c r="AC178" s="39" t="b">
        <x:v>1</x:v>
      </x:c>
      <x:c r="AD178" s="39" t="b">
        <x:v>1</x:v>
      </x:c>
      <x:c r="AE178" s="39" t="b">
        <x:v>0</x:v>
      </x:c>
      <x:c r="AF178" s="26" t="n">
        <x:v>0.009094126085360756</x:v>
      </x:c>
      <x:c r="AG178" s="26" t="n">
        <x:v>0.02721028567241379</x:v>
      </x:c>
      <x:c r="AH178" s="26" t="n">
        <x:v>1650</x:v>
      </x:c>
      <x:c r="AI178" s="26"/>
      <x:c r="AJ178" s="26" t="str">
        <x:v>추가 실험 필요</x:v>
      </x:c>
      <x:c r="AK178" s="27" t="str">
        <x:v>평균 효과 방향은 모두 양수이나 표본 또는 신뢰구간 기준을 통과하지 못함</x:v>
      </x:c>
    </x:row>
    <x:row r="179">
      <x:c r="A179" s="25" t="str">
        <x:v>MEAT-PCKGD</x:v>
      </x:c>
      <x:c r="B179" s="26" t="str">
        <x:v>HEAT/SERVE</x:v>
      </x:c>
      <x:c r="C179" s="26" t="n">
        <x:v>96</x:v>
      </x:c>
      <x:c r="D179" s="26" t="n">
        <x:v>3676</x:v>
      </x:c>
      <x:c r="E179" s="26" t="n">
        <x:v>20667</x:v>
      </x:c>
      <x:c r="F179" s="26" t="n">
        <x:v>0.00853970066163206</x:v>
      </x:c>
      <x:c r="G179" s="26" t="n">
        <x:v>-0.00019342208678951867</x:v>
      </x:c>
      <x:c r="H179" s="26" t="n">
        <x:v>0.01727282341005364</x:v>
      </x:c>
      <x:c r="I179" s="26" t="n">
        <x:v>0.027645037415571245</x:v>
      </x:c>
      <x:c r="J179" s="26" t="n">
        <x:v>0.02700673969166667</x:v>
      </x:c>
      <x:c r="K179" s="26" t="n">
        <x:v>-0.013642727686133935</x:v>
      </x:c>
      <x:c r="L179" s="26" t="n">
        <x:v>0.06765620706946728</x:v>
      </x:c>
      <x:c r="M179" s="26" t="n">
        <x:v>0.09642622639306447</x:v>
      </x:c>
      <x:c r="N179" s="26" t="n">
        <x:v>0.3541666666666667</x:v>
      </x:c>
      <x:c r="O179" s="26" t="n">
        <x:v>0.3229166666666667</x:v>
      </x:c>
      <x:c r="P179" s="26" t="n">
        <x:v>76</x:v>
      </x:c>
      <x:c r="Q179" s="26" t="n">
        <x:v>3413</x:v>
      </x:c>
      <x:c r="R179" s="26" t="n">
        <x:v>8824</x:v>
      </x:c>
      <x:c r="S179" s="26" t="n">
        <x:v>0.00799601783432282</x:v>
      </x:c>
      <x:c r="T179" s="26" t="n">
        <x:v>0.0012230829426468463</x:v>
      </x:c>
      <x:c r="U179" s="26" t="n">
        <x:v>0.014768952725998794</x:v>
      </x:c>
      <x:c r="V179" s="26" t="n">
        <x:v>0.010335385321277027</x:v>
      </x:c>
      <x:c r="W179" s="26" t="n">
        <x:v>0.04800012170263158</x:v>
      </x:c>
      <x:c r="X179" s="26" t="n">
        <x:v>0.013655198873059896</x:v>
      </x:c>
      <x:c r="Y179" s="26" t="n">
        <x:v>0.08234504453220326</x:v>
      </x:c>
      <x:c r="Z179" s="26" t="n">
        <x:v>0.0030787286173596913</x:v>
      </x:c>
      <x:c r="AA179" s="26" t="n">
        <x:v>0.2894736842105263</x:v>
      </x:c>
      <x:c r="AB179" s="26" t="n">
        <x:v>0.32894736842105265</x:v>
      </x:c>
      <x:c r="AC179" s="39" t="b">
        <x:v>1</x:v>
      </x:c>
      <x:c r="AD179" s="39" t="b">
        <x:v>1</x:v>
      </x:c>
      <x:c r="AE179" s="39" t="b">
        <x:v>0</x:v>
      </x:c>
      <x:c r="AF179" s="26" t="n">
        <x:v>0.00799601783432282</x:v>
      </x:c>
      <x:c r="AG179" s="26" t="n">
        <x:v>0.02700673969166667</x:v>
      </x:c>
      <x:c r="AH179" s="26" t="n">
        <x:v>8824</x:v>
      </x:c>
      <x:c r="AI179" s="26"/>
      <x:c r="AJ179" s="26" t="str">
        <x:v>추가 실험 필요</x:v>
      </x:c>
      <x:c r="AK179" s="27" t="str">
        <x:v>평균 효과 방향은 모두 양수이나 표본 또는 신뢰구간 기준을 통과하지 못함</x:v>
      </x:c>
    </x:row>
    <x:row r="180">
      <x:c r="A180" s="25" t="str">
        <x:v>GROCERY</x:v>
      </x:c>
      <x:c r="B180" s="26" t="str">
        <x:v>AIR CARE</x:v>
      </x:c>
      <x:c r="C180" s="26" t="n">
        <x:v>122</x:v>
      </x:c>
      <x:c r="D180" s="26" t="n">
        <x:v>2779</x:v>
      </x:c>
      <x:c r="E180" s="26" t="n">
        <x:v>3334</x:v>
      </x:c>
      <x:c r="F180" s="26" t="n">
        <x:v>0.007617910464921554</x:v>
      </x:c>
      <x:c r="G180" s="26" t="n">
        <x:v>-0.003142129893915344</x:v>
      </x:c>
      <x:c r="H180" s="26" t="n">
        <x:v>0.01837795082375845</x:v>
      </x:c>
      <x:c r="I180" s="26" t="n">
        <x:v>0.08262275127926591</x:v>
      </x:c>
      <x:c r="J180" s="26" t="n">
        <x:v>0.02656870997540984</x:v>
      </x:c>
      <x:c r="K180" s="26" t="n">
        <x:v>-0.01016274442945974</x:v>
      </x:c>
      <x:c r="L180" s="26" t="n">
        <x:v>0.06330016438027941</x:v>
      </x:c>
      <x:c r="M180" s="26" t="n">
        <x:v>0.07813724228497476</x:v>
      </x:c>
      <x:c r="N180" s="26" t="n">
        <x:v>0.11475409836065574</x:v>
      </x:c>
      <x:c r="O180" s="26" t="n">
        <x:v>0.11475409836065574</x:v>
      </x:c>
      <x:c r="P180" s="26" t="n">
        <x:v>41</x:v>
      </x:c>
      <x:c r="Q180" s="26" t="n">
        <x:v>253</x:v>
      </x:c>
      <x:c r="R180" s="26" t="n">
        <x:v>253</x:v>
      </x:c>
      <x:c r="S180" s="26" t="n">
        <x:v>0.03252032520325203</x:v>
      </x:c>
      <x:c r="T180" s="26" t="n">
        <x:v>-0.003947761435833794</x:v>
      </x:c>
      <x:c r="U180" s="26" t="n">
        <x:v>0.06898841184233785</x:v>
      </x:c>
      <x:c r="V180" s="26" t="n">
        <x:v>0.04024715827797144</x:v>
      </x:c>
      <x:c r="W180" s="26" t="n">
        <x:v>0.03252032536585366</x:v>
      </x:c>
      <x:c r="X180" s="26" t="n">
        <x:v>-0.0039477614020454535</x:v>
      </x:c>
      <x:c r="Y180" s="26" t="n">
        <x:v>0.06898841213375279</x:v>
      </x:c>
      <x:c r="Z180" s="26" t="n">
        <x:v>0.04024715805579006</x:v>
      </x:c>
      <x:c r="AA180" s="26" t="n">
        <x:v>0.07317073170731707</x:v>
      </x:c>
      <x:c r="AB180" s="26" t="n">
        <x:v>0.07317073170731707</x:v>
      </x:c>
      <x:c r="AC180" s="39" t="b">
        <x:v>1</x:v>
      </x:c>
      <x:c r="AD180" s="39" t="b">
        <x:v>1</x:v>
      </x:c>
      <x:c r="AE180" s="39" t="b">
        <x:v>0</x:v>
      </x:c>
      <x:c r="AF180" s="26" t="n">
        <x:v>0.007617910464921554</x:v>
      </x:c>
      <x:c r="AG180" s="26" t="n">
        <x:v>0.02656870997540984</x:v>
      </x:c>
      <x:c r="AH180" s="26" t="n">
        <x:v>253</x:v>
      </x:c>
      <x:c r="AI180" s="26"/>
      <x:c r="AJ180" s="26" t="str">
        <x:v>추가 실험 필요</x:v>
      </x:c>
      <x:c r="AK180" s="27" t="str">
        <x:v>평균 효과 방향은 모두 양수이나 표본 또는 신뢰구간 기준을 통과하지 못함</x:v>
      </x:c>
    </x:row>
    <x:row r="181">
      <x:c r="A181" s="25" t="str">
        <x:v>GROCERY</x:v>
      </x:c>
      <x:c r="B181" s="26" t="str">
        <x:v>DRY MIX DESSERTS</x:v>
      </x:c>
      <x:c r="C181" s="26" t="n">
        <x:v>68</x:v>
      </x:c>
      <x:c r="D181" s="26" t="n">
        <x:v>2093</x:v>
      </x:c>
      <x:c r="E181" s="26" t="n">
        <x:v>6100</x:v>
      </x:c>
      <x:c r="F181" s="26" t="n">
        <x:v>0.01827748714252722</x:v>
      </x:c>
      <x:c r="G181" s="26" t="n">
        <x:v>-0.005037394638454099</x:v>
      </x:c>
      <x:c r="H181" s="26" t="n">
        <x:v>0.04159236892350854</x:v>
      </x:c>
      <x:c r="I181" s="26" t="n">
        <x:v>0.06220496132618075</x:v>
      </x:c>
      <x:c r="J181" s="26" t="n">
        <x:v>0.024010226694117648</x:v>
      </x:c>
      <x:c r="K181" s="26" t="n">
        <x:v>-0.004697808707633814</x:v>
      </x:c>
      <x:c r="L181" s="26" t="n">
        <x:v>0.052718262095869106</x:v>
      </x:c>
      <x:c r="M181" s="26" t="n">
        <x:v>0.05057916179696909</x:v>
      </x:c>
      <x:c r="N181" s="26" t="n">
        <x:v>0.19117647058823528</x:v>
      </x:c>
      <x:c r="O181" s="26" t="n">
        <x:v>0.17647058823529413</x:v>
      </x:c>
      <x:c r="P181" s="26" t="n">
        <x:v>69</x:v>
      </x:c>
      <x:c r="Q181" s="26" t="n">
        <x:v>2585</x:v>
      </x:c>
      <x:c r="R181" s="26" t="n">
        <x:v>5349</x:v>
      </x:c>
      <x:c r="S181" s="26" t="n">
        <x:v>0.025164524243504093</x:v>
      </x:c>
      <x:c r="T181" s="26" t="n">
        <x:v>-0.005831491091890274</x:v>
      </x:c>
      <x:c r="U181" s="26" t="n">
        <x:v>0.05616053957889846</x:v>
      </x:c>
      <x:c r="V181" s="26" t="n">
        <x:v>0.05577645131443312</x:v>
      </x:c>
      <x:c r="W181" s="26" t="n">
        <x:v>0.043696129768115946</x:v>
      </x:c>
      <x:c r="X181" s="26" t="n">
        <x:v>-0.015729001034443364</x:v>
      </x:c>
      <x:c r="Y181" s="26" t="n">
        <x:v>0.10312126057067525</x:v>
      </x:c>
      <x:c r="Z181" s="26" t="n">
        <x:v>0.07476191787161889</x:v>
      </x:c>
      <x:c r="AA181" s="26" t="n">
        <x:v>0.21739130434782608</x:v>
      </x:c>
      <x:c r="AB181" s="26" t="n">
        <x:v>0.17391304347826086</x:v>
      </x:c>
      <x:c r="AC181" s="39" t="b">
        <x:v>1</x:v>
      </x:c>
      <x:c r="AD181" s="39" t="b">
        <x:v>1</x:v>
      </x:c>
      <x:c r="AE181" s="39" t="b">
        <x:v>0</x:v>
      </x:c>
      <x:c r="AF181" s="26" t="n">
        <x:v>0.01827748714252722</x:v>
      </x:c>
      <x:c r="AG181" s="26" t="n">
        <x:v>0.024010226694117648</x:v>
      </x:c>
      <x:c r="AH181" s="26" t="n">
        <x:v>5349</x:v>
      </x:c>
      <x:c r="AI181" s="26"/>
      <x:c r="AJ181" s="26" t="str">
        <x:v>추가 실험 필요</x:v>
      </x:c>
      <x:c r="AK181" s="27" t="str">
        <x:v>평균 효과 방향은 모두 양수이나 표본 또는 신뢰구간 기준을 통과하지 못함</x:v>
      </x:c>
    </x:row>
    <x:row r="182">
      <x:c r="A182" s="25" t="str">
        <x:v>COUP/STR &amp; MFG</x:v>
      </x:c>
      <x:c r="B182" s="26" t="str">
        <x:v>COUPONS/STORE &amp; MFG</x:v>
      </x:c>
      <x:c r="C182" s="26" t="n">
        <x:v>4</x:v>
      </x:c>
      <x:c r="D182" s="26" t="n">
        <x:v>71</x:v>
      </x:c>
      <x:c r="E182" s="26" t="n">
        <x:v>134</x:v>
      </x:c>
      <x:c r="F182" s="26" t="n">
        <x:v>0.00669642857142855</x:v>
      </x:c>
      <x:c r="G182" s="26" t="n">
        <x:v>-0.006428571428571408</x:v>
      </x:c>
      <x:c r="H182" s="26" t="n">
        <x:v>0.019821428571428507</x:v>
      </x:c>
      <x:c r="I182" s="26" t="n">
        <x:v>0.15865525393145705</x:v>
      </x:c>
      <x:c r="J182" s="26" t="n">
        <x:v>0.0434151825</x:v>
      </x:c>
      <x:c r="K182" s="26" t="n">
        <x:v>-0.041678575200000005</x:v>
      </x:c>
      <x:c r="L182" s="26" t="n">
        <x:v>0.1285089402</x:v>
      </x:c>
      <x:c r="M182" s="26" t="n">
        <x:v>0.15865525393145705</x:v>
      </x:c>
      <x:c r="N182" s="26" t="n">
        <x:v>0.25</x:v>
      </x:c>
      <x:c r="O182" s="26" t="n">
        <x:v>0.25</x:v>
      </x:c>
      <x:c r="P182" s="26" t="n">
        <x:v>3</x:v>
      </x:c>
      <x:c r="Q182" s="26" t="n">
        <x:v>91</x:v>
      </x:c>
      <x:c r="R182" s="26" t="n">
        <x:v>134</x:v>
      </x:c>
      <x:c r="S182" s="26" t="n">
        <x:v>0.013020833333333334</x:v>
      </x:c>
      <x:c r="T182" s="26" t="n">
        <x:v>-0.01509072466843941</x:v>
      </x:c>
      <x:c r="U182" s="26" t="n">
        <x:v>0.04113239133510608</x:v>
      </x:c>
      <x:c r="V182" s="26" t="n">
        <x:v>0.18198103755123815</x:v>
      </x:c>
      <x:c r="W182" s="26" t="n">
        <x:v>0.020703124666666666</x:v>
      </x:c>
      <x:c r="X182" s="26" t="n">
        <x:v>-0.030397130119053744</x:v>
      </x:c>
      <x:c r="Y182" s="26" t="n">
        <x:v>0.07180337945238707</x:v>
      </x:c>
      <x:c r="Z182" s="26" t="n">
        <x:v>0.21357195783935318</x:v>
      </x:c>
      <x:c r="AA182" s="26" t="n">
        <x:v>0.3333333333333333</x:v>
      </x:c>
      <x:c r="AB182" s="26" t="n">
        <x:v>0.3333333333333333</x:v>
      </x:c>
      <x:c r="AC182" s="39" t="b">
        <x:v>1</x:v>
      </x:c>
      <x:c r="AD182" s="39" t="b">
        <x:v>1</x:v>
      </x:c>
      <x:c r="AE182" s="39" t="b">
        <x:v>0</x:v>
      </x:c>
      <x:c r="AF182" s="26" t="n">
        <x:v>0.00669642857142855</x:v>
      </x:c>
      <x:c r="AG182" s="26" t="n">
        <x:v>0.020703124666666666</x:v>
      </x:c>
      <x:c r="AH182" s="26" t="n">
        <x:v>134</x:v>
      </x:c>
      <x:c r="AI182" s="26"/>
      <x:c r="AJ182" s="26" t="str">
        <x:v>추가 실험 필요</x:v>
      </x:c>
      <x:c r="AK182" s="27" t="str">
        <x:v>평균 효과 방향은 모두 양수이나 표본 또는 신뢰구간 기준을 통과하지 못함</x:v>
      </x:c>
    </x:row>
    <x:row r="183">
      <x:c r="A183" s="25" t="str">
        <x:v>GROCERY</x:v>
      </x:c>
      <x:c r="B183" s="26" t="str">
        <x:v>WATER - CARBONATED/FLVRD DRINK</x:v>
      </x:c>
      <x:c r="C183" s="26" t="n">
        <x:v>151</x:v>
      </x:c>
      <x:c r="D183" s="26" t="n">
        <x:v>6683</x:v>
      </x:c>
      <x:c r="E183" s="26" t="n">
        <x:v>25366</x:v>
      </x:c>
      <x:c r="F183" s="26" t="n">
        <x:v>0.006805034257866921</x:v>
      </x:c>
      <x:c r="G183" s="26" t="n">
        <x:v>0.0014874935975897688</x:v>
      </x:c>
      <x:c r="H183" s="26" t="n">
        <x:v>0.012122574918144073</x:v>
      </x:c>
      <x:c r="I183" s="26" t="n">
        <x:v>0.006066068827837354</x:v>
      </x:c>
      <x:c r="J183" s="26" t="n">
        <x:v>0.020616842953642384</x:v>
      </x:c>
      <x:c r="K183" s="26" t="n">
        <x:v>0.0015890529669146877</x:v>
      </x:c>
      <x:c r="L183" s="26" t="n">
        <x:v>0.03964463294037008</x:v>
      </x:c>
      <x:c r="M183" s="26" t="n">
        <x:v>0.016848290204535002</x:v>
      </x:c>
      <x:c r="N183" s="26" t="n">
        <x:v>0.1456953642384106</x:v>
      </x:c>
      <x:c r="O183" s="26" t="n">
        <x:v>0.152317880794702</x:v>
      </x:c>
      <x:c r="P183" s="26" t="n">
        <x:v>102</x:v>
      </x:c>
      <x:c r="Q183" s="26" t="n">
        <x:v>3376</x:v>
      </x:c>
      <x:c r="R183" s="26" t="n">
        <x:v>7375</x:v>
      </x:c>
      <x:c r="S183" s="26" t="n">
        <x:v>0.0050958461445975755</x:v>
      </x:c>
      <x:c r="T183" s="26" t="n">
        <x:v>-0.0009537978798847702</x:v>
      </x:c>
      <x:c r="U183" s="26" t="n">
        <x:v>0.011145490169079921</x:v>
      </x:c>
      <x:c r="V183" s="26" t="n">
        <x:v>0.04937103993660744</x:v>
      </x:c>
      <x:c r="W183" s="26" t="n">
        <x:v>0.019262730950980394</x:v>
      </x:c>
      <x:c r="X183" s="26" t="n">
        <x:v>-0.004020328702185088</x:v>
      </x:c>
      <x:c r="Y183" s="26" t="n">
        <x:v>0.04254579060414587</x:v>
      </x:c>
      <x:c r="Z183" s="26" t="n">
        <x:v>0.052448454000738436</x:v>
      </x:c>
      <x:c r="AA183" s="26" t="n">
        <x:v>0.12745098039215685</x:v>
      </x:c>
      <x:c r="AB183" s="26" t="n">
        <x:v>0.12745098039215685</x:v>
      </x:c>
      <x:c r="AC183" s="39" t="b">
        <x:v>1</x:v>
      </x:c>
      <x:c r="AD183" s="39" t="b">
        <x:v>1</x:v>
      </x:c>
      <x:c r="AE183" s="39" t="b">
        <x:v>0</x:v>
      </x:c>
      <x:c r="AF183" s="26" t="n">
        <x:v>0.0050958461445975755</x:v>
      </x:c>
      <x:c r="AG183" s="26" t="n">
        <x:v>0.019262730950980394</x:v>
      </x:c>
      <x:c r="AH183" s="26" t="n">
        <x:v>7375</x:v>
      </x:c>
      <x:c r="AI183" s="26"/>
      <x:c r="AJ183" s="26" t="str">
        <x:v>추가 실험 필요</x:v>
      </x:c>
      <x:c r="AK183" s="27" t="str">
        <x:v>평균 효과 방향은 모두 양수이나 표본 또는 신뢰구간 기준을 통과하지 못함</x:v>
      </x:c>
    </x:row>
    <x:row r="184">
      <x:c r="A184" s="25" t="str">
        <x:v>MEAT</x:v>
      </x:c>
      <x:c r="B184" s="26" t="str">
        <x:v>TURKEY</x:v>
      </x:c>
      <x:c r="C184" s="26" t="n">
        <x:v>4</x:v>
      </x:c>
      <x:c r="D184" s="26" t="n">
        <x:v>46</x:v>
      </x:c>
      <x:c r="E184" s="26" t="n">
        <x:v>67</x:v>
      </x:c>
      <x:c r="F184" s="26" t="n">
        <x:v>0.015507518796992473</x:v>
      </x:c>
      <x:c r="G184" s="26" t="n">
        <x:v>-0.06618665170242423</x:v>
      </x:c>
      <x:c r="H184" s="26" t="n">
        <x:v>0.09720168929640917</x:v>
      </x:c>
      <x:c r="I184" s="26" t="n">
        <x:v>0.35492589416357534</x:v>
      </x:c>
      <x:c r="J184" s="26" t="n">
        <x:v>0.018153202500000007</x:v>
      </x:c>
      <x:c r="K184" s="26" t="n">
        <x:v>-0.4011376570614078</x:v>
      </x:c>
      <x:c r="L184" s="26" t="n">
        <x:v>0.43744406206140785</x:v>
      </x:c>
      <x:c r="M184" s="26" t="n">
        <x:v>0.4661870529207284</x:v>
      </x:c>
      <x:c r="N184" s="26" t="n">
        <x:v>0.5</x:v>
      </x:c>
      <x:c r="O184" s="26" t="n">
        <x:v>0.25</x:v>
      </x:c>
      <x:c r="P184" s="26" t="n">
        <x:v>3</x:v>
      </x:c>
      <x:c r="Q184" s="26" t="n">
        <x:v>37</x:v>
      </x:c>
      <x:c r="R184" s="26" t="n">
        <x:v>39</x:v>
      </x:c>
      <x:c r="S184" s="26" t="n">
        <x:v>0.025641025641025633</x:v>
      </x:c>
      <x:c r="T184" s="26" t="n">
        <x:v>-0.02461538461538461</x:v>
      </x:c>
      <x:c r="U184" s="26" t="n">
        <x:v>0.07589743589743587</x:v>
      </x:c>
      <x:c r="V184" s="26" t="n">
        <x:v>0.15865525393145705</x:v>
      </x:c>
      <x:c r="W184" s="26" t="n">
        <x:v>0.18461536666666667</x:v>
      </x:c>
      <x:c r="X184" s="26" t="n">
        <x:v>-0.17723075200000005</x:v>
      </x:c>
      <x:c r="Y184" s="26" t="n">
        <x:v>0.5464614853333334</x:v>
      </x:c>
      <x:c r="Z184" s="26" t="n">
        <x:v>0.15865525393145713</x:v>
      </x:c>
      <x:c r="AA184" s="26" t="n">
        <x:v>0.3333333333333333</x:v>
      </x:c>
      <x:c r="AB184" s="26" t="n">
        <x:v>0.3333333333333333</x:v>
      </x:c>
      <x:c r="AC184" s="39" t="b">
        <x:v>1</x:v>
      </x:c>
      <x:c r="AD184" s="39" t="b">
        <x:v>1</x:v>
      </x:c>
      <x:c r="AE184" s="39" t="b">
        <x:v>0</x:v>
      </x:c>
      <x:c r="AF184" s="26" t="n">
        <x:v>0.015507518796992473</x:v>
      </x:c>
      <x:c r="AG184" s="26" t="n">
        <x:v>0.018153202500000007</x:v>
      </x:c>
      <x:c r="AH184" s="26" t="n">
        <x:v>39</x:v>
      </x:c>
      <x:c r="AI184" s="26"/>
      <x:c r="AJ184" s="26" t="str">
        <x:v>추가 실험 필요</x:v>
      </x:c>
      <x:c r="AK184" s="27" t="str">
        <x:v>평균 효과 방향은 모두 양수이나 표본 또는 신뢰구간 기준을 통과하지 못함</x:v>
      </x:c>
    </x:row>
    <x:row r="185">
      <x:c r="A185" s="25" t="str">
        <x:v>PASTRY</x:v>
      </x:c>
      <x:c r="B185" s="26" t="str">
        <x:v>CAKES</x:v>
      </x:c>
      <x:c r="C185" s="26" t="n">
        <x:v>66</x:v>
      </x:c>
      <x:c r="D185" s="26" t="n">
        <x:v>412</x:v>
      </x:c>
      <x:c r="E185" s="26" t="n">
        <x:v>547</x:v>
      </x:c>
      <x:c r="F185" s="26" t="n">
        <x:v>0.003480291638186374</x:v>
      </x:c>
      <x:c r="G185" s="26" t="n">
        <x:v>-0.0016839128352804616</x:v>
      </x:c>
      <x:c r="H185" s="26" t="n">
        <x:v>0.008644496111653209</x:v>
      </x:c>
      <x:c r="I185" s="26" t="n">
        <x:v>0.09326819688425536</x:v>
      </x:c>
      <x:c r="J185" s="26" t="n">
        <x:v>0.01786306578787879</x:v>
      </x:c>
      <x:c r="K185" s="26" t="n">
        <x:v>-0.00783004406200806</x:v>
      </x:c>
      <x:c r="L185" s="26" t="n">
        <x:v>0.04355617563776564</x:v>
      </x:c>
      <x:c r="M185" s="26" t="n">
        <x:v>0.0864909431972024</x:v>
      </x:c>
      <x:c r="N185" s="26" t="n">
        <x:v>0.030303030303030304</x:v>
      </x:c>
      <x:c r="O185" s="26" t="n">
        <x:v>0.030303030303030304</x:v>
      </x:c>
      <x:c r="P185" s="26" t="n">
        <x:v>54</x:v>
      </x:c>
      <x:c r="Q185" s="26" t="n">
        <x:v>312</x:v>
      </x:c>
      <x:c r="R185" s="26" t="n">
        <x:v>357</x:v>
      </x:c>
      <x:c r="S185" s="26" t="n">
        <x:v>0.007269582269582271</x:v>
      </x:c>
      <x:c r="T185" s="26" t="n">
        <x:v>-0.005365173371225474</x:v>
      </x:c>
      <x:c r="U185" s="26" t="n">
        <x:v>0.019904337910390014</x:v>
      </x:c>
      <x:c r="V185" s="26" t="n">
        <x:v>0.12972052165722883</x:v>
      </x:c>
      <x:c r="W185" s="26" t="n">
        <x:v>0.06626402074074074</x:v>
      </x:c>
      <x:c r="X185" s="26" t="n">
        <x:v>-0.02549023640362151</x:v>
      </x:c>
      <x:c r="Y185" s="26" t="n">
        <x:v>0.15801827788510298</x:v>
      </x:c>
      <x:c r="Z185" s="26" t="n">
        <x:v>0.0784620444743156</x:v>
      </x:c>
      <x:c r="AA185" s="26" t="n">
        <x:v>0.05555555555555555</x:v>
      </x:c>
      <x:c r="AB185" s="26" t="n">
        <x:v>0.05555555555555555</x:v>
      </x:c>
      <x:c r="AC185" s="39" t="b">
        <x:v>1</x:v>
      </x:c>
      <x:c r="AD185" s="39" t="b">
        <x:v>1</x:v>
      </x:c>
      <x:c r="AE185" s="39" t="b">
        <x:v>0</x:v>
      </x:c>
      <x:c r="AF185" s="26" t="n">
        <x:v>0.003480291638186374</x:v>
      </x:c>
      <x:c r="AG185" s="26" t="n">
        <x:v>0.01786306578787879</x:v>
      </x:c>
      <x:c r="AH185" s="26" t="n">
        <x:v>357</x:v>
      </x:c>
      <x:c r="AI185" s="26"/>
      <x:c r="AJ185" s="26" t="str">
        <x:v>추가 실험 필요</x:v>
      </x:c>
      <x:c r="AK185" s="27" t="str">
        <x:v>평균 효과 방향은 모두 양수이나 표본 또는 신뢰구간 기준을 통과하지 못함</x:v>
      </x:c>
    </x:row>
    <x:row r="186">
      <x:c r="A186" s="25" t="str">
        <x:v>GROCERY</x:v>
      </x:c>
      <x:c r="B186" s="26" t="str">
        <x:v>CANNED JUICES</x:v>
      </x:c>
      <x:c r="C186" s="26" t="n">
        <x:v>327</x:v>
      </x:c>
      <x:c r="D186" s="26" t="n">
        <x:v>10010</x:v>
      </x:c>
      <x:c r="E186" s="26" t="n">
        <x:v>29716</x:v>
      </x:c>
      <x:c r="F186" s="26" t="n">
        <x:v>0.01126864072258185</x:v>
      </x:c>
      <x:c r="G186" s="26" t="n">
        <x:v>0.0029833085599961923</x:v>
      </x:c>
      <x:c r="H186" s="26" t="n">
        <x:v>0.019553972885167508</x:v>
      </x:c>
      <x:c r="I186" s="26" t="n">
        <x:v>0.003840961547727929</x:v>
      </x:c>
      <x:c r="J186" s="26" t="n">
        <x:v>0.03069562002140673</x:v>
      </x:c>
      <x:c r="K186" s="26" t="n">
        <x:v>0.009081805448224112</x:v>
      </x:c>
      <x:c r="L186" s="26" t="n">
        <x:v>0.05230943459458935</x:v>
      </x:c>
      <x:c r="M186" s="26" t="n">
        <x:v>0.0026882707168871516</x:v>
      </x:c>
      <x:c r="N186" s="26" t="n">
        <x:v>0.18042813455657492</x:v>
      </x:c>
      <x:c r="O186" s="26" t="n">
        <x:v>0.1834862385321101</x:v>
      </x:c>
      <x:c r="P186" s="26" t="n">
        <x:v>242</x:v>
      </x:c>
      <x:c r="Q186" s="26" t="n">
        <x:v>7474</x:v>
      </x:c>
      <x:c r="R186" s="26" t="n">
        <x:v>16086</x:v>
      </x:c>
      <x:c r="S186" s="26" t="n">
        <x:v>0.003478842773901744</x:v>
      </x:c>
      <x:c r="T186" s="26" t="n">
        <x:v>-0.00093826045801632</x:v>
      </x:c>
      <x:c r="U186" s="26" t="n">
        <x:v>0.007895946005819807</x:v>
      </x:c>
      <x:c r="V186" s="26" t="n">
        <x:v>0.06133464013755382</x:v>
      </x:c>
      <x:c r="W186" s="26" t="n">
        <x:v>0.016248453013636362</x:v>
      </x:c>
      <x:c r="X186" s="26" t="n">
        <x:v>0.002959936366882557</x:v>
      </x:c>
      <x:c r="Y186" s="26" t="n">
        <x:v>0.02953696966039017</x:v>
      </x:c>
      <x:c r="Z186" s="26" t="n">
        <x:v>0.008274483271898801</x:v>
      </x:c>
      <x:c r="AA186" s="26" t="n">
        <x:v>0.14049586776859505</x:v>
      </x:c>
      <x:c r="AB186" s="26" t="n">
        <x:v>0.16942148760330578</x:v>
      </x:c>
      <x:c r="AC186" s="39" t="b">
        <x:v>1</x:v>
      </x:c>
      <x:c r="AD186" s="39" t="b">
        <x:v>1</x:v>
      </x:c>
      <x:c r="AE186" s="39" t="b">
        <x:v>0</x:v>
      </x:c>
      <x:c r="AF186" s="26" t="n">
        <x:v>0.003478842773901744</x:v>
      </x:c>
      <x:c r="AG186" s="26" t="n">
        <x:v>0.016248453013636362</x:v>
      </x:c>
      <x:c r="AH186" s="26" t="n">
        <x:v>16086</x:v>
      </x:c>
      <x:c r="AI186" s="26"/>
      <x:c r="AJ186" s="26" t="str">
        <x:v>추가 실험 필요</x:v>
      </x:c>
      <x:c r="AK186" s="27" t="str">
        <x:v>평균 효과 방향은 모두 양수이나 표본 또는 신뢰구간 기준을 통과하지 못함</x:v>
      </x:c>
    </x:row>
    <x:row r="187">
      <x:c r="A187" s="25" t="str">
        <x:v>GROCERY</x:v>
      </x:c>
      <x:c r="B187" s="26" t="str">
        <x:v>DRY BN/VEG/POTATO/RICE</x:v>
      </x:c>
      <x:c r="C187" s="26" t="n">
        <x:v>214</x:v>
      </x:c>
      <x:c r="D187" s="26" t="n">
        <x:v>3914</x:v>
      </x:c>
      <x:c r="E187" s="26" t="n">
        <x:v>6444</x:v>
      </x:c>
      <x:c r="F187" s="26" t="n">
        <x:v>0.010027008338243926</x:v>
      </x:c>
      <x:c r="G187" s="26" t="n">
        <x:v>0.0003866481628509444</x:v>
      </x:c>
      <x:c r="H187" s="26" t="n">
        <x:v>0.01966736851363691</x:v>
      </x:c>
      <x:c r="I187" s="26" t="n">
        <x:v>0.020744474468428135</x:v>
      </x:c>
      <x:c r="J187" s="26" t="n">
        <x:v>0.016061539950000002</x:v>
      </x:c>
      <x:c r="K187" s="26" t="n">
        <x:v>-0.0022591399334482114</x:v>
      </x:c>
      <x:c r="L187" s="26" t="n">
        <x:v>0.03438221983344822</x:v>
      </x:c>
      <x:c r="M187" s="26" t="n">
        <x:v>0.04286998918020822</x:v>
      </x:c>
      <x:c r="N187" s="26" t="n">
        <x:v>0.1308411214953271</x:v>
      </x:c>
      <x:c r="O187" s="26" t="n">
        <x:v>0.1261682242990654</x:v>
      </x:c>
      <x:c r="P187" s="26" t="n">
        <x:v>177</x:v>
      </x:c>
      <x:c r="Q187" s="26" t="n">
        <x:v>1947</x:v>
      </x:c>
      <x:c r="R187" s="26" t="n">
        <x:v>1966</x:v>
      </x:c>
      <x:c r="S187" s="26" t="n">
        <x:v>0.014347909809649211</x:v>
      </x:c>
      <x:c r="T187" s="26" t="n">
        <x:v>0.0045870279766029535</x:v>
      </x:c>
      <x:c r="U187" s="26" t="n">
        <x:v>0.02410879164269547</x:v>
      </x:c>
      <x:c r="V187" s="26" t="n">
        <x:v>0.0019815611349247256</x:v>
      </x:c>
      <x:c r="W187" s="26" t="n">
        <x:v>0.015351063553672314</x:v>
      </x:c>
      <x:c r="X187" s="26" t="n">
        <x:v>0.0012059959134298505</x:v>
      </x:c>
      <x:c r="Y187" s="26" t="n">
        <x:v>0.02949613119391478</x:v>
      </x:c>
      <x:c r="Z187" s="26" t="n">
        <x:v>0.016705561156888732</x:v>
      </x:c>
      <x:c r="AA187" s="26" t="n">
        <x:v>0.096045197740113</x:v>
      </x:c>
      <x:c r="AB187" s="26" t="n">
        <x:v>0.1016949152542373</x:v>
      </x:c>
      <x:c r="AC187" s="39" t="b">
        <x:v>1</x:v>
      </x:c>
      <x:c r="AD187" s="39" t="b">
        <x:v>1</x:v>
      </x:c>
      <x:c r="AE187" s="39" t="b">
        <x:v>0</x:v>
      </x:c>
      <x:c r="AF187" s="26" t="n">
        <x:v>0.010027008338243926</x:v>
      </x:c>
      <x:c r="AG187" s="26" t="n">
        <x:v>0.015351063553672314</x:v>
      </x:c>
      <x:c r="AH187" s="26" t="n">
        <x:v>1966</x:v>
      </x:c>
      <x:c r="AI187" s="26"/>
      <x:c r="AJ187" s="26" t="str">
        <x:v>추가 실험 필요</x:v>
      </x:c>
      <x:c r="AK187" s="27" t="str">
        <x:v>평균 효과 방향은 모두 양수이나 표본 또는 신뢰구간 기준을 통과하지 못함</x:v>
      </x:c>
    </x:row>
    <x:row r="188">
      <x:c r="A188" s="25" t="str">
        <x:v>GROCERY</x:v>
      </x:c>
      <x:c r="B188" s="26" t="str">
        <x:v>CONDIMENTS/SAUCES</x:v>
      </x:c>
      <x:c r="C188" s="26" t="n">
        <x:v>166</x:v>
      </x:c>
      <x:c r="D188" s="26" t="n">
        <x:v>6329</x:v>
      </x:c>
      <x:c r="E188" s="26" t="n">
        <x:v>17719</x:v>
      </x:c>
      <x:c r="F188" s="26" t="n">
        <x:v>0.0058248606351513675</x:v>
      </x:c>
      <x:c r="G188" s="26" t="n">
        <x:v>-0.0018983747102087906</x:v>
      </x:c>
      <x:c r="H188" s="26" t="n">
        <x:v>0.013548095980511526</x:v>
      </x:c>
      <x:c r="I188" s="26" t="n">
        <x:v>0.06967296329963318</x:v>
      </x:c>
      <x:c r="J188" s="26" t="n">
        <x:v>0.01528069921987952</x:v>
      </x:c>
      <x:c r="K188" s="26" t="n">
        <x:v>-0.0043042402212125335</x:v>
      </x:c>
      <x:c r="L188" s="26" t="n">
        <x:v>0.034865638660971573</x:v>
      </x:c>
      <x:c r="M188" s="26" t="n">
        <x:v>0.06310186089876652</x:v>
      </x:c>
      <x:c r="N188" s="26" t="n">
        <x:v>0.1144578313253012</x:v>
      </x:c>
      <x:c r="O188" s="26" t="n">
        <x:v>0.10240963855421686</x:v>
      </x:c>
      <x:c r="P188" s="26" t="n">
        <x:v>115</x:v>
      </x:c>
      <x:c r="Q188" s="26" t="n">
        <x:v>3146</x:v>
      </x:c>
      <x:c r="R188" s="26" t="n">
        <x:v>3985</x:v>
      </x:c>
      <x:c r="S188" s="26" t="n">
        <x:v>0.00858154100018961</x:v>
      </x:c>
      <x:c r="T188" s="26" t="n">
        <x:v>-0.0004604034072317551</x:v>
      </x:c>
      <x:c r="U188" s="26" t="n">
        <x:v>0.017623485407610974</x:v>
      </x:c>
      <x:c r="V188" s="26" t="n">
        <x:v>0.03142865371427036</x:v>
      </x:c>
      <x:c r="W188" s="26" t="n">
        <x:v>0.02388659272173913</x:v>
      </x:c>
      <x:c r="X188" s="26" t="n">
        <x:v>-0.008576421803066742</x:v>
      </x:c>
      <x:c r="Y188" s="26" t="n">
        <x:v>0.056349607246545</x:v>
      </x:c>
      <x:c r="Z188" s="26" t="n">
        <x:v>0.07462488208287879</x:v>
      </x:c>
      <x:c r="AA188" s="26" t="n">
        <x:v>0.12173913043478261</x:v>
      </x:c>
      <x:c r="AB188" s="26" t="n">
        <x:v>0.12173913043478261</x:v>
      </x:c>
      <x:c r="AC188" s="39" t="b">
        <x:v>1</x:v>
      </x:c>
      <x:c r="AD188" s="39" t="b">
        <x:v>1</x:v>
      </x:c>
      <x:c r="AE188" s="39" t="b">
        <x:v>0</x:v>
      </x:c>
      <x:c r="AF188" s="26" t="n">
        <x:v>0.0058248606351513675</x:v>
      </x:c>
      <x:c r="AG188" s="26" t="n">
        <x:v>0.01528069921987952</x:v>
      </x:c>
      <x:c r="AH188" s="26" t="n">
        <x:v>3985</x:v>
      </x:c>
      <x:c r="AI188" s="26"/>
      <x:c r="AJ188" s="26" t="str">
        <x:v>추가 실험 필요</x:v>
      </x:c>
      <x:c r="AK188" s="27" t="str">
        <x:v>평균 효과 방향은 모두 양수이나 표본 또는 신뢰구간 기준을 통과하지 못함</x:v>
      </x:c>
    </x:row>
    <x:row r="189">
      <x:c r="A189" s="25" t="str">
        <x:v>GROCERY</x:v>
      </x:c>
      <x:c r="B189" s="26" t="str">
        <x:v>HOT CEREAL</x:v>
      </x:c>
      <x:c r="C189" s="26" t="n">
        <x:v>93</x:v>
      </x:c>
      <x:c r="D189" s="26" t="n">
        <x:v>2735</x:v>
      </x:c>
      <x:c r="E189" s="26" t="n">
        <x:v>4119</x:v>
      </x:c>
      <x:c r="F189" s="26" t="n">
        <x:v>0.011854971775193547</x:v>
      </x:c>
      <x:c r="G189" s="26" t="n">
        <x:v>-0.0011384496103817882</x:v>
      </x:c>
      <x:c r="H189" s="26" t="n">
        <x:v>0.02484839316076888</x:v>
      </x:c>
      <x:c r="I189" s="26" t="n">
        <x:v>0.03686623484258425</x:v>
      </x:c>
      <x:c r="J189" s="26" t="n">
        <x:v>0.0265660455172043</x:v>
      </x:c>
      <x:c r="K189" s="26" t="n">
        <x:v>-0.000154326140094984</x:v>
      </x:c>
      <x:c r="L189" s="26" t="n">
        <x:v>0.05328641717450358</x:v>
      </x:c>
      <x:c r="M189" s="26" t="n">
        <x:v>0.025666836186737475</x:v>
      </x:c>
      <x:c r="N189" s="26" t="n">
        <x:v>0.15053763440860216</x:v>
      </x:c>
      <x:c r="O189" s="26" t="n">
        <x:v>0.16129032258064516</x:v>
      </x:c>
      <x:c r="P189" s="26" t="n">
        <x:v>7</x:v>
      </x:c>
      <x:c r="Q189" s="26" t="n">
        <x:v>118</x:v>
      </x:c>
      <x:c r="R189" s="26" t="n">
        <x:v>118</x:v>
      </x:c>
      <x:c r="S189" s="26" t="n">
        <x:v>0.0075187969924812</x:v>
      </x:c>
      <x:c r="T189" s="26" t="n">
        <x:v>-0.007218045112781951</x:v>
      </x:c>
      <x:c r="U189" s="26" t="n">
        <x:v>0.02225563909774435</x:v>
      </x:c>
      <x:c r="V189" s="26" t="n">
        <x:v>0.158655253931457</x:v>
      </x:c>
      <x:c r="W189" s="26" t="n">
        <x:v>0.015037594285714285</x:v>
      </x:c>
      <x:c r="X189" s="26" t="n">
        <x:v>-0.014436090514285708</x:v>
      </x:c>
      <x:c r="Y189" s="26" t="n">
        <x:v>0.04451127908571428</x:v>
      </x:c>
      <x:c r="Z189" s="26" t="n">
        <x:v>0.158655253931457</x:v>
      </x:c>
      <x:c r="AA189" s="26" t="n">
        <x:v>0.14285714285714285</x:v>
      </x:c>
      <x:c r="AB189" s="26" t="n">
        <x:v>0.14285714285714285</x:v>
      </x:c>
      <x:c r="AC189" s="39" t="b">
        <x:v>1</x:v>
      </x:c>
      <x:c r="AD189" s="39" t="b">
        <x:v>1</x:v>
      </x:c>
      <x:c r="AE189" s="39" t="b">
        <x:v>0</x:v>
      </x:c>
      <x:c r="AF189" s="26" t="n">
        <x:v>0.0075187969924812</x:v>
      </x:c>
      <x:c r="AG189" s="26" t="n">
        <x:v>0.015037594285714285</x:v>
      </x:c>
      <x:c r="AH189" s="26" t="n">
        <x:v>118</x:v>
      </x:c>
      <x:c r="AI189" s="26"/>
      <x:c r="AJ189" s="26" t="str">
        <x:v>추가 실험 필요</x:v>
      </x:c>
      <x:c r="AK189" s="27" t="str">
        <x:v>평균 효과 방향은 모두 양수이나 표본 또는 신뢰구간 기준을 통과하지 못함</x:v>
      </x:c>
    </x:row>
    <x:row r="190">
      <x:c r="A190" s="25" t="str">
        <x:v>GROCERY</x:v>
      </x:c>
      <x:c r="B190" s="26" t="str">
        <x:v>SOUP</x:v>
      </x:c>
      <x:c r="C190" s="26" t="n">
        <x:v>339</x:v>
      </x:c>
      <x:c r="D190" s="26" t="n">
        <x:v>10320</x:v>
      </x:c>
      <x:c r="E190" s="26" t="n">
        <x:v>29036</x:v>
      </x:c>
      <x:c r="F190" s="26" t="n">
        <x:v>0.006786806778426336</x:v>
      </x:c>
      <x:c r="G190" s="26" t="n">
        <x:v>-0.001955558564134526</x:v>
      </x:c>
      <x:c r="H190" s="26" t="n">
        <x:v>0.015529172120987197</x:v>
      </x:c>
      <x:c r="I190" s="26" t="n">
        <x:v>0.06405813637177622</x:v>
      </x:c>
      <x:c r="J190" s="26" t="n">
        <x:v>0.017439445557964603</x:v>
      </x:c>
      <x:c r="K190" s="26" t="n">
        <x:v>-0.0018005323568824998</x:v>
      </x:c>
      <x:c r="L190" s="26" t="n">
        <x:v>0.03667942347281171</x:v>
      </x:c>
      <x:c r="M190" s="26" t="n">
        <x:v>0.03781888403658245</x:v>
      </x:c>
      <x:c r="N190" s="26" t="n">
        <x:v>0.13569321533923304</x:v>
      </x:c>
      <x:c r="O190" s="26" t="n">
        <x:v>0.1504424778761062</x:v>
      </x:c>
      <x:c r="P190" s="26" t="n">
        <x:v>243</x:v>
      </x:c>
      <x:c r="Q190" s="26" t="n">
        <x:v>6720</x:v>
      </x:c>
      <x:c r="R190" s="26" t="n">
        <x:v>11110</x:v>
      </x:c>
      <x:c r="S190" s="26" t="n">
        <x:v>0.007804584004476938</x:v>
      </x:c>
      <x:c r="T190" s="26" t="n">
        <x:v>0.00137293724219127</x:v>
      </x:c>
      <x:c r="U190" s="26" t="n">
        <x:v>0.014236230766762606</x:v>
      </x:c>
      <x:c r="V190" s="26" t="n">
        <x:v>0.008694137599004679</x:v>
      </x:c>
      <x:c r="W190" s="26" t="n">
        <x:v>0.014629075539917694</x:v>
      </x:c>
      <x:c r="X190" s="26" t="n">
        <x:v>0.0006206533901094938</x:v>
      </x:c>
      <x:c r="Y190" s="26" t="n">
        <x:v>0.028637497689725892</x:v>
      </x:c>
      <x:c r="Z190" s="26" t="n">
        <x:v>0.02033693603763345</x:v>
      </x:c>
      <x:c r="AA190" s="26" t="n">
        <x:v>0.13168724279835392</x:v>
      </x:c>
      <x:c r="AB190" s="26" t="n">
        <x:v>0.12345679012345678</x:v>
      </x:c>
      <x:c r="AC190" s="39" t="b">
        <x:v>1</x:v>
      </x:c>
      <x:c r="AD190" s="39" t="b">
        <x:v>1</x:v>
      </x:c>
      <x:c r="AE190" s="39" t="b">
        <x:v>0</x:v>
      </x:c>
      <x:c r="AF190" s="26" t="n">
        <x:v>0.006786806778426336</x:v>
      </x:c>
      <x:c r="AG190" s="26" t="n">
        <x:v>0.014629075539917694</x:v>
      </x:c>
      <x:c r="AH190" s="26" t="n">
        <x:v>11110</x:v>
      </x:c>
      <x:c r="AI190" s="26"/>
      <x:c r="AJ190" s="26" t="str">
        <x:v>추가 실험 필요</x:v>
      </x:c>
      <x:c r="AK190" s="27" t="str">
        <x:v>평균 효과 방향은 모두 양수이나 표본 또는 신뢰구간 기준을 통과하지 못함</x:v>
      </x:c>
    </x:row>
    <x:row r="191">
      <x:c r="A191" s="25" t="str">
        <x:v>COSMETICS</x:v>
      </x:c>
      <x:c r="B191" s="26" t="str">
        <x:v>BATH</x:v>
      </x:c>
      <x:c r="C191" s="26" t="n">
        <x:v>8</x:v>
      </x:c>
      <x:c r="D191" s="26" t="n">
        <x:v>160</x:v>
      </x:c>
      <x:c r="E191" s="26" t="n">
        <x:v>178</x:v>
      </x:c>
      <x:c r="F191" s="26" t="n">
        <x:v>0.002976190476190475</x:v>
      </x:c>
      <x:c r="G191" s="26" t="n">
        <x:v>-0.002857142857142856</x:v>
      </x:c>
      <x:c r="H191" s="26" t="n">
        <x:v>0.008809523809523805</x:v>
      </x:c>
      <x:c r="I191" s="26" t="n">
        <x:v>0.15865525393145705</x:v>
      </x:c>
      <x:c r="J191" s="26" t="n">
        <x:v>0.013363095</x:v>
      </x:c>
      <x:c r="K191" s="26" t="n">
        <x:v>-0.012828571199999998</x:v>
      </x:c>
      <x:c r="L191" s="26" t="n">
        <x:v>0.039554761199999997</x:v>
      </x:c>
      <x:c r="M191" s="26" t="n">
        <x:v>0.158655253931457</x:v>
      </x:c>
      <x:c r="N191" s="26" t="n">
        <x:v>0.125</x:v>
      </x:c>
      <x:c r="O191" s="26" t="n">
        <x:v>0.125</x:v>
      </x:c>
      <x:c r="P191" s="26" t="n">
        <x:v>1</x:v>
      </x:c>
      <x:c r="Q191" s="26" t="n">
        <x:v>20</x:v>
      </x:c>
      <x:c r="R191" s="26" t="n">
        <x:v>34</x:v>
      </x:c>
      <x:c r="S191" s="26" t="n">
        <x:v>0.025</x:v>
      </x:c>
      <x:c r="T191" s="26"/>
      <x:c r="U191" s="26"/>
      <x:c r="V191" s="26"/>
      <x:c r="W191" s="26" t="n">
        <x:v>0.11224999</x:v>
      </x:c>
      <x:c r="X191" s="26"/>
      <x:c r="Y191" s="26"/>
      <x:c r="Z191" s="26"/>
      <x:c r="AA191" s="26" t="n">
        <x:v>1</x:v>
      </x:c>
      <x:c r="AB191" s="26" t="n">
        <x:v>1</x:v>
      </x:c>
      <x:c r="AC191" s="39" t="b">
        <x:v>1</x:v>
      </x:c>
      <x:c r="AD191" s="39" t="b">
        <x:v>1</x:v>
      </x:c>
      <x:c r="AE191" s="39" t="b">
        <x:v>0</x:v>
      </x:c>
      <x:c r="AF191" s="26" t="n">
        <x:v>0.002976190476190475</x:v>
      </x:c>
      <x:c r="AG191" s="26" t="n">
        <x:v>0.013363095</x:v>
      </x:c>
      <x:c r="AH191" s="26" t="n">
        <x:v>34</x:v>
      </x:c>
      <x:c r="AI191" s="26"/>
      <x:c r="AJ191" s="26" t="str">
        <x:v>추가 실험 필요</x:v>
      </x:c>
      <x:c r="AK191" s="27" t="str">
        <x:v>평균 효과 방향은 모두 양수이나 표본 또는 신뢰구간 기준을 통과하지 못함</x:v>
      </x:c>
    </x:row>
    <x:row r="192">
      <x:c r="A192" s="25" t="str">
        <x:v>DRUG GM</x:v>
      </x:c>
      <x:c r="B192" s="26" t="str">
        <x:v>BATTERIES</x:v>
      </x:c>
      <x:c r="C192" s="26" t="n">
        <x:v>66</x:v>
      </x:c>
      <x:c r="D192" s="26" t="n">
        <x:v>3317</x:v>
      </x:c>
      <x:c r="E192" s="26" t="n">
        <x:v>25718</x:v>
      </x:c>
      <x:c r="F192" s="26" t="n">
        <x:v>0.0008525129303097635</x:v>
      </x:c>
      <x:c r="G192" s="26" t="n">
        <x:v>-0.0033046438957873903</x:v>
      </x:c>
      <x:c r="H192" s="26" t="n">
        <x:v>0.005009669756406918</x:v>
      </x:c>
      <x:c r="I192" s="26" t="n">
        <x:v>0.3438642929469822</x:v>
      </x:c>
      <x:c r="J192" s="26" t="n">
        <x:v>0.013133785257575756</x:v>
      </x:c>
      <x:c r="K192" s="26" t="n">
        <x:v>-0.01913216272136016</x:v>
      </x:c>
      <x:c r="L192" s="26" t="n">
        <x:v>0.04539973323651167</x:v>
      </x:c>
      <x:c r="M192" s="26" t="n">
        <x:v>0.21248927107150561</x:v>
      </x:c>
      <x:c r="N192" s="26" t="n">
        <x:v>0.15151515151515152</x:v>
      </x:c>
      <x:c r="O192" s="26" t="n">
        <x:v>0.16666666666666666</x:v>
      </x:c>
      <x:c r="P192" s="26" t="n">
        <x:v>54</x:v>
      </x:c>
      <x:c r="Q192" s="26" t="n">
        <x:v>3084</x:v>
      </x:c>
      <x:c r="R192" s="26" t="n">
        <x:v>12813</x:v>
      </x:c>
      <x:c r="S192" s="26" t="n">
        <x:v>0.0016536810020307963</x:v>
      </x:c>
      <x:c r="T192" s="26" t="n">
        <x:v>-0.0020445696913099277</x:v>
      </x:c>
      <x:c r="U192" s="26" t="n">
        <x:v>0.00535193169537152</x:v>
      </x:c>
      <x:c r="V192" s="26" t="n">
        <x:v>0.19040132360073406</x:v>
      </x:c>
      <x:c r="W192" s="26" t="n">
        <x:v>0.017692470907407408</x:v>
      </x:c>
      <x:c r="X192" s="26" t="n">
        <x:v>-0.007159049073227536</x:v>
      </x:c>
      <x:c r="Y192" s="26" t="n">
        <x:v>0.04254399088804235</x:v>
      </x:c>
      <x:c r="Z192" s="26" t="n">
        <x:v>0.0814510699424581</x:v>
      </x:c>
      <x:c r="AA192" s="26" t="n">
        <x:v>0.16666666666666666</x:v>
      </x:c>
      <x:c r="AB192" s="26" t="n">
        <x:v>0.18518518518518517</x:v>
      </x:c>
      <x:c r="AC192" s="39" t="b">
        <x:v>1</x:v>
      </x:c>
      <x:c r="AD192" s="39" t="b">
        <x:v>1</x:v>
      </x:c>
      <x:c r="AE192" s="39" t="b">
        <x:v>0</x:v>
      </x:c>
      <x:c r="AF192" s="26" t="n">
        <x:v>0.0008525129303097635</x:v>
      </x:c>
      <x:c r="AG192" s="26" t="n">
        <x:v>0.013133785257575756</x:v>
      </x:c>
      <x:c r="AH192" s="26" t="n">
        <x:v>12813</x:v>
      </x:c>
      <x:c r="AI192" s="26"/>
      <x:c r="AJ192" s="26" t="str">
        <x:v>추가 실험 필요</x:v>
      </x:c>
      <x:c r="AK192" s="27" t="str">
        <x:v>평균 효과 방향은 모두 양수이나 표본 또는 신뢰구간 기준을 통과하지 못함</x:v>
      </x:c>
    </x:row>
    <x:row r="193">
      <x:c r="A193" s="25" t="str">
        <x:v>GROCERY</x:v>
      </x:c>
      <x:c r="B193" s="26" t="str">
        <x:v>MILK BY-PRODUCTS</x:v>
      </x:c>
      <x:c r="C193" s="26" t="n">
        <x:v>105</x:v>
      </x:c>
      <x:c r="D193" s="26" t="n">
        <x:v>2166</x:v>
      </x:c>
      <x:c r="E193" s="26" t="n">
        <x:v>6020</x:v>
      </x:c>
      <x:c r="F193" s="26" t="n">
        <x:v>0.010228496987624434</x:v>
      </x:c>
      <x:c r="G193" s="26" t="n">
        <x:v>0.003742309177920803</x:v>
      </x:c>
      <x:c r="H193" s="26" t="n">
        <x:v>0.016714684797328065</x:v>
      </x:c>
      <x:c r="I193" s="26" t="n">
        <x:v>0.000997911529420226</x:v>
      </x:c>
      <x:c r="J193" s="26" t="n">
        <x:v>0.016756745104761904</x:v>
      </x:c>
      <x:c r="K193" s="26" t="n">
        <x:v>0.004865490268745432</x:v>
      </x:c>
      <x:c r="L193" s="26" t="n">
        <x:v>0.028647999940778376</x:v>
      </x:c>
      <x:c r="M193" s="26" t="n">
        <x:v>0.0028727387076887224</x:v>
      </x:c>
      <x:c r="N193" s="26" t="n">
        <x:v>0.13333333333333333</x:v>
      </x:c>
      <x:c r="O193" s="26" t="n">
        <x:v>0.13333333333333333</x:v>
      </x:c>
      <x:c r="P193" s="26" t="n">
        <x:v>95</x:v>
      </x:c>
      <x:c r="Q193" s="26" t="n">
        <x:v>5028</x:v>
      </x:c>
      <x:c r="R193" s="26" t="n">
        <x:v>23445</x:v>
      </x:c>
      <x:c r="S193" s="26" t="n">
        <x:v>0.007020350117270323</x:v>
      </x:c>
      <x:c r="T193" s="26" t="n">
        <x:v>0.0008962902839156498</x:v>
      </x:c>
      <x:c r="U193" s="26" t="n">
        <x:v>0.013144409950624995</x:v>
      </x:c>
      <x:c r="V193" s="26" t="n">
        <x:v>0.012324586259464466</x:v>
      </x:c>
      <x:c r="W193" s="26" t="n">
        <x:v>0.012992955757894735</x:v>
      </x:c>
      <x:c r="X193" s="26" t="n">
        <x:v>-0.0013032115728730531</x:v>
      </x:c>
      <x:c r="Y193" s="26" t="n">
        <x:v>0.027289123088662524</x:v>
      </x:c>
      <x:c r="Z193" s="26" t="n">
        <x:v>0.03742926939969441</x:v>
      </x:c>
      <x:c r="AA193" s="26" t="n">
        <x:v>0.14736842105263157</x:v>
      </x:c>
      <x:c r="AB193" s="26" t="n">
        <x:v>0.1368421052631579</x:v>
      </x:c>
      <x:c r="AC193" s="39" t="b">
        <x:v>1</x:v>
      </x:c>
      <x:c r="AD193" s="39" t="b">
        <x:v>1</x:v>
      </x:c>
      <x:c r="AE193" s="39" t="b">
        <x:v>0</x:v>
      </x:c>
      <x:c r="AF193" s="26" t="n">
        <x:v>0.007020350117270323</x:v>
      </x:c>
      <x:c r="AG193" s="26" t="n">
        <x:v>0.012992955757894735</x:v>
      </x:c>
      <x:c r="AH193" s="26" t="n">
        <x:v>6020</x:v>
      </x:c>
      <x:c r="AI193" s="26"/>
      <x:c r="AJ193" s="26" t="str">
        <x:v>추가 실험 필요</x:v>
      </x:c>
      <x:c r="AK193" s="27" t="str">
        <x:v>평균 효과 방향은 모두 양수이나 표본 또는 신뢰구간 기준을 통과하지 못함</x:v>
      </x:c>
    </x:row>
    <x:row r="194">
      <x:c r="A194" s="25" t="str">
        <x:v>DRUG GM</x:v>
      </x:c>
      <x:c r="B194" s="26" t="str">
        <x:v>CHRISTMAS  SEASONAL</x:v>
      </x:c>
      <x:c r="C194" s="26" t="n">
        <x:v>198</x:v>
      </x:c>
      <x:c r="D194" s="26" t="n">
        <x:v>865</x:v>
      </x:c>
      <x:c r="E194" s="26" t="n">
        <x:v>1199</x:v>
      </x:c>
      <x:c r="F194" s="26" t="n">
        <x:v>0.012973846151208005</x:v>
      </x:c>
      <x:c r="G194" s="26" t="n">
        <x:v>0.0008278804011228446</x:v>
      </x:c>
      <x:c r="H194" s="26" t="n">
        <x:v>0.025119811901293164</x:v>
      </x:c>
      <x:c r="I194" s="26" t="n">
        <x:v>0.01814801725371997</x:v>
      </x:c>
      <x:c r="J194" s="26" t="n">
        <x:v>0.016831002636363637</x:v>
      </x:c>
      <x:c r="K194" s="26" t="n">
        <x:v>-0.006797662523859736</x:v>
      </x:c>
      <x:c r="L194" s="26" t="n">
        <x:v>0.04045966779658701</x:v>
      </x:c>
      <x:c r="M194" s="26" t="n">
        <x:v>0.08133718584147588</x:v>
      </x:c>
      <x:c r="N194" s="26" t="n">
        <x:v>0.0707070707070707</x:v>
      </x:c>
      <x:c r="O194" s="26" t="n">
        <x:v>0.0707070707070707</x:v>
      </x:c>
      <x:c r="P194" s="26" t="n">
        <x:v>149</x:v>
      </x:c>
      <x:c r="Q194" s="26" t="n">
        <x:v>582</x:v>
      </x:c>
      <x:c r="R194" s="26" t="n">
        <x:v>690</x:v>
      </x:c>
      <x:c r="S194" s="26" t="n">
        <x:v>0.0037626086101428956</x:v>
      </x:c>
      <x:c r="T194" s="26" t="n">
        <x:v>-0.0030349102311801224</x:v>
      </x:c>
      <x:c r="U194" s="26" t="n">
        <x:v>0.010560127451465914</x:v>
      </x:c>
      <x:c r="V194" s="26" t="n">
        <x:v>0.13898021482737355</x:v>
      </x:c>
      <x:c r="W194" s="26" t="n">
        <x:v>0.012848803154362418</x:v>
      </x:c>
      <x:c r="X194" s="26" t="n">
        <x:v>-0.013995223521831867</x:v>
      </x:c>
      <x:c r="Y194" s="26" t="n">
        <x:v>0.039692829830556706</x:v>
      </x:c>
      <x:c r="Z194" s="26" t="n">
        <x:v>0.1740843293836004</x:v>
      </x:c>
      <x:c r="AA194" s="26" t="n">
        <x:v>0.053691275167785234</x:v>
      </x:c>
      <x:c r="AB194" s="26" t="n">
        <x:v>0.053691275167785234</x:v>
      </x:c>
      <x:c r="AC194" s="39" t="b">
        <x:v>1</x:v>
      </x:c>
      <x:c r="AD194" s="39" t="b">
        <x:v>1</x:v>
      </x:c>
      <x:c r="AE194" s="39" t="b">
        <x:v>0</x:v>
      </x:c>
      <x:c r="AF194" s="26" t="n">
        <x:v>0.0037626086101428956</x:v>
      </x:c>
      <x:c r="AG194" s="26" t="n">
        <x:v>0.012848803154362418</x:v>
      </x:c>
      <x:c r="AH194" s="26" t="n">
        <x:v>690</x:v>
      </x:c>
      <x:c r="AI194" s="26"/>
      <x:c r="AJ194" s="26" t="str">
        <x:v>추가 실험 필요</x:v>
      </x:c>
      <x:c r="AK194" s="27" t="str">
        <x:v>평균 효과 방향은 모두 양수이나 표본 또는 신뢰구간 기준을 통과하지 못함</x:v>
      </x:c>
    </x:row>
    <x:row r="195">
      <x:c r="A195" s="25" t="str">
        <x:v>DRUG GM</x:v>
      </x:c>
      <x:c r="B195" s="26" t="str">
        <x:v>KITCHEN GADGETS</x:v>
      </x:c>
      <x:c r="C195" s="26" t="n">
        <x:v>95</x:v>
      </x:c>
      <x:c r="D195" s="26" t="n">
        <x:v>1512</x:v>
      </x:c>
      <x:c r="E195" s="26" t="n">
        <x:v>1947</x:v>
      </x:c>
      <x:c r="F195" s="26" t="n">
        <x:v>0.0013241159862246536</x:v>
      </x:c>
      <x:c r="G195" s="26" t="n">
        <x:v>-0.0005517989524735343</x:v>
      </x:c>
      <x:c r="H195" s="26" t="n">
        <x:v>0.003200030924922842</x:v>
      </x:c>
      <x:c r="I195" s="26" t="n">
        <x:v>0.08326078438132185</x:v>
      </x:c>
      <x:c r="J195" s="26" t="n">
        <x:v>0.012653638568421053</x:v>
      </x:c>
      <x:c r="K195" s="26" t="n">
        <x:v>-0.010701718315823812</x:v>
      </x:c>
      <x:c r="L195" s="26" t="n">
        <x:v>0.03600899545266592</x:v>
      </x:c>
      <x:c r="M195" s="26" t="n">
        <x:v>0.14413978324322985</x:v>
      </x:c>
      <x:c r="N195" s="26" t="n">
        <x:v>0.07368421052631578</x:v>
      </x:c>
      <x:c r="O195" s="26" t="n">
        <x:v>0.07368421052631578</x:v>
      </x:c>
      <x:c r="P195" s="26" t="n">
        <x:v>16</x:v>
      </x:c>
      <x:c r="Q195" s="26" t="n">
        <x:v>30</x:v>
      </x:c>
      <x:c r="R195" s="26" t="n">
        <x:v>30</x:v>
      </x:c>
      <x:c r="S195" s="26" t="n">
        <x:v>0.06666666666666667</x:v>
      </x:c>
      <x:c r="T195" s="26" t="n">
        <x:v>-0.05556080796794875</x:v>
      </x:c>
      <x:c r="U195" s="26" t="n">
        <x:v>0.18889414130128207</x:v>
      </x:c>
      <x:c r="V195" s="26" t="n">
        <x:v>0.14252470370130638</x:v>
      </x:c>
      <x:c r="W195" s="26" t="n">
        <x:v>0.10354166687500001</x:v>
      </x:c>
      <x:c r="X195" s="26" t="n">
        <x:v>-0.09085973932407083</x:v>
      </x:c>
      <x:c r="Y195" s="26" t="n">
        <x:v>0.29794307307407086</x:v>
      </x:c>
      <x:c r="Z195" s="26" t="n">
        <x:v>0.14825864210259554</x:v>
      </x:c>
      <x:c r="AA195" s="26" t="n">
        <x:v>0.125</x:v>
      </x:c>
      <x:c r="AB195" s="26" t="n">
        <x:v>0.125</x:v>
      </x:c>
      <x:c r="AC195" s="39" t="b">
        <x:v>1</x:v>
      </x:c>
      <x:c r="AD195" s="39" t="b">
        <x:v>1</x:v>
      </x:c>
      <x:c r="AE195" s="39" t="b">
        <x:v>0</x:v>
      </x:c>
      <x:c r="AF195" s="26" t="n">
        <x:v>0.0013241159862246536</x:v>
      </x:c>
      <x:c r="AG195" s="26" t="n">
        <x:v>0.012653638568421053</x:v>
      </x:c>
      <x:c r="AH195" s="26" t="n">
        <x:v>30</x:v>
      </x:c>
      <x:c r="AI195" s="26"/>
      <x:c r="AJ195" s="26" t="str">
        <x:v>추가 실험 필요</x:v>
      </x:c>
      <x:c r="AK195" s="27" t="str">
        <x:v>평균 효과 방향은 모두 양수이나 표본 또는 신뢰구간 기준을 통과하지 못함</x:v>
      </x:c>
    </x:row>
    <x:row r="196">
      <x:c r="A196" s="25" t="str">
        <x:v>GROCERY</x:v>
      </x:c>
      <x:c r="B196" s="26" t="str">
        <x:v>EGGS</x:v>
      </x:c>
      <x:c r="C196" s="26" t="n">
        <x:v>47</x:v>
      </x:c>
      <x:c r="D196" s="26" t="n">
        <x:v>2595</x:v>
      </x:c>
      <x:c r="E196" s="26" t="n">
        <x:v>9993</x:v>
      </x:c>
      <x:c r="F196" s="26" t="n">
        <x:v>0.010113667494385593</x:v>
      </x:c>
      <x:c r="G196" s="26" t="n">
        <x:v>-0.013138740981457528</x:v>
      </x:c>
      <x:c r="H196" s="26" t="n">
        <x:v>0.03336607597022871</x:v>
      </x:c>
      <x:c r="I196" s="26" t="n">
        <x:v>0.19696700648631485</x:v>
      </x:c>
      <x:c r="J196" s="26" t="n">
        <x:v>0.011322155106382981</x:v>
      </x:c>
      <x:c r="K196" s="26" t="n">
        <x:v>-0.08046766458647725</x:v>
      </x:c>
      <x:c r="L196" s="26" t="n">
        <x:v>0.10311197479924322</x:v>
      </x:c>
      <x:c r="M196" s="26" t="n">
        <x:v>0.4044817285484431</x:v>
      </x:c>
      <x:c r="N196" s="26" t="n">
        <x:v>0.0851063829787234</x:v>
      </x:c>
      <x:c r="O196" s="26" t="n">
        <x:v>0.0851063829787234</x:v>
      </x:c>
      <x:c r="P196" s="26" t="n">
        <x:v>35</x:v>
      </x:c>
      <x:c r="Q196" s="26" t="n">
        <x:v>2904</x:v>
      </x:c>
      <x:c r="R196" s="26" t="n">
        <x:v>6705</x:v>
      </x:c>
      <x:c r="S196" s="26" t="n">
        <x:v>0.02472824781177747</x:v>
      </x:c>
      <x:c r="T196" s="26" t="n">
        <x:v>-0.0049837421181375754</x:v>
      </x:c>
      <x:c r="U196" s="26" t="n">
        <x:v>0.054440237741692515</x:v>
      </x:c>
      <x:c r="V196" s="26" t="n">
        <x:v>0.051419917693489685</x:v>
      </x:c>
      <x:c r="W196" s="26" t="n">
        <x:v>0.05149486257142857</x:v>
      </x:c>
      <x:c r="X196" s="26" t="n">
        <x:v>-0.004430983251479684</x:v>
      </x:c>
      <x:c r="Y196" s="26" t="n">
        <x:v>0.10742070839433682</x:v>
      </x:c>
      <x:c r="Z196" s="26" t="n">
        <x:v>0.035560040687162196</x:v>
      </x:c>
      <x:c r="AA196" s="26" t="n">
        <x:v>0.11428571428571428</x:v>
      </x:c>
      <x:c r="AB196" s="26" t="n">
        <x:v>0.11428571428571428</x:v>
      </x:c>
      <x:c r="AC196" s="39" t="b">
        <x:v>1</x:v>
      </x:c>
      <x:c r="AD196" s="39" t="b">
        <x:v>1</x:v>
      </x:c>
      <x:c r="AE196" s="39" t="b">
        <x:v>0</x:v>
      </x:c>
      <x:c r="AF196" s="26" t="n">
        <x:v>0.010113667494385593</x:v>
      </x:c>
      <x:c r="AG196" s="26" t="n">
        <x:v>0.011322155106382981</x:v>
      </x:c>
      <x:c r="AH196" s="26" t="n">
        <x:v>6705</x:v>
      </x:c>
      <x:c r="AI196" s="26"/>
      <x:c r="AJ196" s="26" t="str">
        <x:v>추가 실험 필요</x:v>
      </x:c>
      <x:c r="AK196" s="27" t="str">
        <x:v>평균 효과 방향은 모두 양수이나 표본 또는 신뢰구간 기준을 통과하지 못함</x:v>
      </x:c>
    </x:row>
    <x:row r="197">
      <x:c r="A197" s="25" t="str">
        <x:v>FLORAL</x:v>
      </x:c>
      <x:c r="B197" s="26" t="str">
        <x:v>FLORAL-FRESH CUT</x:v>
      </x:c>
      <x:c r="C197" s="26" t="n">
        <x:v>36</x:v>
      </x:c>
      <x:c r="D197" s="26" t="n">
        <x:v>224</x:v>
      </x:c>
      <x:c r="E197" s="26" t="n">
        <x:v>308</x:v>
      </x:c>
      <x:c r="F197" s="26" t="n">
        <x:v>0.0011846405228758139</x:v>
      </x:c>
      <x:c r="G197" s="26" t="n">
        <x:v>-0.0010829807273317114</x:v>
      </x:c>
      <x:c r="H197" s="26" t="n">
        <x:v>0.0034522617730833394</x:v>
      </x:c>
      <x:c r="I197" s="26" t="n">
        <x:v>0.15293312822473296</x:v>
      </x:c>
      <x:c r="J197" s="26" t="n">
        <x:v>0.011232979055555556</x:v>
      </x:c>
      <x:c r="K197" s="26" t="n">
        <x:v>-0.009486736573644952</x:v>
      </x:c>
      <x:c r="L197" s="26" t="n">
        <x:v>0.03195269468475606</x:v>
      </x:c>
      <x:c r="M197" s="26" t="n">
        <x:v>0.14398312640063504</x:v>
      </x:c>
      <x:c r="N197" s="26" t="n">
        <x:v>0.05555555555555555</x:v>
      </x:c>
      <x:c r="O197" s="26" t="n">
        <x:v>0.08333333333333333</x:v>
      </x:c>
      <x:c r="P197" s="26" t="n">
        <x:v>18</x:v>
      </x:c>
      <x:c r="Q197" s="26" t="n">
        <x:v>303</x:v>
      </x:c>
      <x:c r="R197" s="26" t="n">
        <x:v>327</x:v>
      </x:c>
      <x:c r="S197" s="26" t="n">
        <x:v>0.02358463632973436</x:v>
      </x:c>
      <x:c r="T197" s="26" t="n">
        <x:v>-0.007276645520792036</x:v>
      </x:c>
      <x:c r="U197" s="26" t="n">
        <x:v>0.05444591818026076</x:v>
      </x:c>
      <x:c r="V197" s="26" t="n">
        <x:v>0.06708478215502742</x:v>
      </x:c>
      <x:c r="W197" s="26" t="n">
        <x:v>0.14244304333333335</x:v>
      </x:c>
      <x:c r="X197" s="26" t="n">
        <x:v>-0.0806654839359397</x:v>
      </x:c>
      <x:c r="Y197" s="26" t="n">
        <x:v>0.3655515706026064</x:v>
      </x:c>
      <x:c r="Z197" s="26" t="n">
        <x:v>0.10540217187207104</x:v>
      </x:c>
      <x:c r="AA197" s="26" t="n">
        <x:v>0.2222222222222222</x:v>
      </x:c>
      <x:c r="AB197" s="26" t="n">
        <x:v>0.2222222222222222</x:v>
      </x:c>
      <x:c r="AC197" s="39" t="b">
        <x:v>1</x:v>
      </x:c>
      <x:c r="AD197" s="39" t="b">
        <x:v>1</x:v>
      </x:c>
      <x:c r="AE197" s="39" t="b">
        <x:v>0</x:v>
      </x:c>
      <x:c r="AF197" s="26" t="n">
        <x:v>0.0011846405228758139</x:v>
      </x:c>
      <x:c r="AG197" s="26" t="n">
        <x:v>0.011232979055555556</x:v>
      </x:c>
      <x:c r="AH197" s="26" t="n">
        <x:v>308</x:v>
      </x:c>
      <x:c r="AI197" s="26"/>
      <x:c r="AJ197" s="26" t="str">
        <x:v>추가 실험 필요</x:v>
      </x:c>
      <x:c r="AK197" s="27" t="str">
        <x:v>평균 효과 방향은 모두 양수이나 표본 또는 신뢰구간 기준을 통과하지 못함</x:v>
      </x:c>
    </x:row>
    <x:row r="198">
      <x:c r="A198" s="25" t="str">
        <x:v>GROCERY</x:v>
      </x:c>
      <x:c r="B198" s="26" t="str">
        <x:v>REFRGRATD DOUGH PRODUCTS</x:v>
      </x:c>
      <x:c r="C198" s="26" t="n">
        <x:v>254</x:v>
      </x:c>
      <x:c r="D198" s="26" t="n">
        <x:v>7314</x:v>
      </x:c>
      <x:c r="E198" s="26" t="n">
        <x:v>19860</x:v>
      </x:c>
      <x:c r="F198" s="26" t="n">
        <x:v>0.010548707196618112</x:v>
      </x:c>
      <x:c r="G198" s="26" t="n">
        <x:v>0.0003396734220947866</x:v>
      </x:c>
      <x:c r="H198" s="26" t="n">
        <x:v>0.020757740971141435</x:v>
      </x:c>
      <x:c r="I198" s="26" t="n">
        <x:v>0.02142275778963628</x:v>
      </x:c>
      <x:c r="J198" s="26" t="n">
        <x:v>0.013200411155905511</x:v>
      </x:c>
      <x:c r="K198" s="26" t="n">
        <x:v>-0.001269621251659709</x:v>
      </x:c>
      <x:c r="L198" s="26" t="n">
        <x:v>0.02767044356347073</x:v>
      </x:c>
      <x:c r="M198" s="26" t="n">
        <x:v>0.036885841366122954</x:v>
      </x:c>
      <x:c r="N198" s="26" t="n">
        <x:v>0.16535433070866143</x:v>
      </x:c>
      <x:c r="O198" s="26" t="n">
        <x:v>0.15354330708661418</x:v>
      </x:c>
      <x:c r="P198" s="26" t="n">
        <x:v>253</x:v>
      </x:c>
      <x:c r="Q198" s="26" t="n">
        <x:v>9404</x:v>
      </x:c>
      <x:c r="R198" s="26" t="n">
        <x:v>20459</x:v>
      </x:c>
      <x:c r="S198" s="26" t="n">
        <x:v>0.005206532106974377</x:v>
      </x:c>
      <x:c r="T198" s="26" t="n">
        <x:v>-0.0038033378012101385</x:v>
      </x:c>
      <x:c r="U198" s="26" t="n">
        <x:v>0.014216402015158893</x:v>
      </x:c>
      <x:c r="V198" s="26" t="n">
        <x:v>0.12868590546538222</x:v>
      </x:c>
      <x:c r="W198" s="26" t="n">
        <x:v>0.010802056907509882</x:v>
      </x:c>
      <x:c r="X198" s="26" t="n">
        <x:v>-0.010333483793886366</x:v>
      </x:c>
      <x:c r="Y198" s="26" t="n">
        <x:v>0.03193759760890613</x:v>
      </x:c>
      <x:c r="Z198" s="26" t="n">
        <x:v>0.15823784837960755</x:v>
      </x:c>
      <x:c r="AA198" s="26" t="n">
        <x:v>0.2015810276679842</x:v>
      </x:c>
      <x:c r="AB198" s="26" t="n">
        <x:v>0.1976284584980237</x:v>
      </x:c>
      <x:c r="AC198" s="39" t="b">
        <x:v>1</x:v>
      </x:c>
      <x:c r="AD198" s="39" t="b">
        <x:v>1</x:v>
      </x:c>
      <x:c r="AE198" s="39" t="b">
        <x:v>0</x:v>
      </x:c>
      <x:c r="AF198" s="26" t="n">
        <x:v>0.005206532106974377</x:v>
      </x:c>
      <x:c r="AG198" s="26" t="n">
        <x:v>0.010802056907509882</x:v>
      </x:c>
      <x:c r="AH198" s="26" t="n">
        <x:v>19860</x:v>
      </x:c>
      <x:c r="AI198" s="26"/>
      <x:c r="AJ198" s="26" t="str">
        <x:v>추가 실험 필요</x:v>
      </x:c>
      <x:c r="AK198" s="27" t="str">
        <x:v>평균 효과 방향은 모두 양수이나 표본 또는 신뢰구간 기준을 통과하지 못함</x:v>
      </x:c>
    </x:row>
    <x:row r="199">
      <x:c r="A199" s="25" t="str">
        <x:v>DRUG GM</x:v>
      </x:c>
      <x:c r="B199" s="26" t="str">
        <x:v>SPRING/SUMMER SEASONAL</x:v>
      </x:c>
      <x:c r="C199" s="26" t="n">
        <x:v>89</x:v>
      </x:c>
      <x:c r="D199" s="26" t="n">
        <x:v>441</x:v>
      </x:c>
      <x:c r="E199" s="26" t="n">
        <x:v>613</x:v>
      </x:c>
      <x:c r="F199" s="26" t="n">
        <x:v>0.0019490679974806843</x:v>
      </x:c>
      <x:c r="G199" s="26" t="n">
        <x:v>-0.00001865202596980733</x:v>
      </x:c>
      <x:c r="H199" s="26" t="n">
        <x:v>0.003916788020931176</x:v>
      </x:c>
      <x:c r="I199" s="26" t="n">
        <x:v>0.026103607352843634</x:v>
      </x:c>
      <x:c r="J199" s="26" t="n">
        <x:v>0.010427067595505619</x:v>
      </x:c>
      <x:c r="K199" s="26" t="n">
        <x:v>0.00013785403191541624</x:v>
      </x:c>
      <x:c r="L199" s="26" t="n">
        <x:v>0.020716281159095823</x:v>
      </x:c>
      <x:c r="M199" s="26" t="n">
        <x:v>0.023502235397493357</x:v>
      </x:c>
      <x:c r="N199" s="26" t="n">
        <x:v>0.056179775280898875</x:v>
      </x:c>
      <x:c r="O199" s="26" t="n">
        <x:v>0.056179775280898875</x:v>
      </x:c>
      <x:c r="P199" s="26" t="n">
        <x:v>47</x:v>
      </x:c>
      <x:c r="Q199" s="26" t="n">
        <x:v>219</x:v>
      </x:c>
      <x:c r="R199" s="26" t="n">
        <x:v>250</x:v>
      </x:c>
      <x:c r="S199" s="26" t="n">
        <x:v>0.0035460992907801405</x:v>
      </x:c>
      <x:c r="T199" s="26" t="n">
        <x:v>-0.0013148300287704287</x:v>
      </x:c>
      <x:c r="U199" s="26" t="n">
        <x:v>0.00840702861033071</x:v>
      </x:c>
      <x:c r="V199" s="26" t="n">
        <x:v>0.07638137155881565</x:v>
      </x:c>
      <x:c r="W199" s="26" t="n">
        <x:v>0.019485815744680852</x:v>
      </x:c>
      <x:c r="X199" s="26" t="n">
        <x:v>-0.008238269845801206</x:v>
      </x:c>
      <x:c r="Y199" s="26" t="n">
        <x:v>0.04720990133516291</x:v>
      </x:c>
      <x:c r="Z199" s="26" t="n">
        <x:v>0.08416620422679807</x:v>
      </x:c>
      <x:c r="AA199" s="26" t="n">
        <x:v>0.0425531914893617</x:v>
      </x:c>
      <x:c r="AB199" s="26" t="n">
        <x:v>0.0425531914893617</x:v>
      </x:c>
      <x:c r="AC199" s="39" t="b">
        <x:v>1</x:v>
      </x:c>
      <x:c r="AD199" s="39" t="b">
        <x:v>1</x:v>
      </x:c>
      <x:c r="AE199" s="39" t="b">
        <x:v>0</x:v>
      </x:c>
      <x:c r="AF199" s="26" t="n">
        <x:v>0.0019490679974806843</x:v>
      </x:c>
      <x:c r="AG199" s="26" t="n">
        <x:v>0.010427067595505619</x:v>
      </x:c>
      <x:c r="AH199" s="26" t="n">
        <x:v>250</x:v>
      </x:c>
      <x:c r="AI199" s="26"/>
      <x:c r="AJ199" s="26" t="str">
        <x:v>추가 실험 필요</x:v>
      </x:c>
      <x:c r="AK199" s="27" t="str">
        <x:v>평균 효과 방향은 모두 양수이나 표본 또는 신뢰구간 기준을 통과하지 못함</x:v>
      </x:c>
    </x:row>
    <x:row r="200">
      <x:c r="A200" s="25" t="str">
        <x:v>PRODUCE</x:v>
      </x:c>
      <x:c r="B200" s="26" t="str">
        <x:v>TOMATOES</x:v>
      </x:c>
      <x:c r="C200" s="26" t="n">
        <x:v>15</x:v>
      </x:c>
      <x:c r="D200" s="26" t="n">
        <x:v>212</x:v>
      </x:c>
      <x:c r="E200" s="26" t="n">
        <x:v>715</x:v>
      </x:c>
      <x:c r="F200" s="26" t="n">
        <x:v>0.007301587301587299</x:v>
      </x:c>
      <x:c r="G200" s="26" t="n">
        <x:v>-0.007009523809523807</x:v>
      </x:c>
      <x:c r="H200" s="26" t="n">
        <x:v>0.021612698412698406</x:v>
      </x:c>
      <x:c r="I200" s="26" t="n">
        <x:v>0.15865525393145705</x:v>
      </x:c>
      <x:c r="J200" s="26" t="n">
        <x:v>0.009640212</x:v>
      </x:c>
      <x:c r="K200" s="26" t="n">
        <x:v>-0.00925460352</x:v>
      </x:c>
      <x:c r="L200" s="26" t="n">
        <x:v>0.02853502752</x:v>
      </x:c>
      <x:c r="M200" s="26" t="n">
        <x:v>0.15865525393145705</x:v>
      </x:c>
      <x:c r="N200" s="26" t="n">
        <x:v>0.06666666666666667</x:v>
      </x:c>
      <x:c r="O200" s="26" t="n">
        <x:v>0.06666666666666667</x:v>
      </x:c>
      <x:c r="P200" s="26" t="n">
        <x:v>12</x:v>
      </x:c>
      <x:c r="Q200" s="26" t="n">
        <x:v>258</x:v>
      </x:c>
      <x:c r="R200" s="26" t="n">
        <x:v>475</x:v>
      </x:c>
      <x:c r="S200" s="26" t="n">
        <x:v>0.02389705882352941</x:v>
      </x:c>
      <x:c r="T200" s="26" t="n">
        <x:v>-0.01683177753081628</x:v>
      </x:c>
      <x:c r="U200" s="26" t="n">
        <x:v>0.06462589517787509</x:v>
      </x:c>
      <x:c r="V200" s="26" t="n">
        <x:v>0.12507156406884637</x:v>
      </x:c>
      <x:c r="W200" s="26" t="n">
        <x:v>0.0887549025</x:v>
      </x:c>
      <x:c r="X200" s="26" t="n">
        <x:v>-0.0739568897177172</x:v>
      </x:c>
      <x:c r="Y200" s="26" t="n">
        <x:v>0.2514666947177172</x:v>
      </x:c>
      <x:c r="Z200" s="26" t="n">
        <x:v>0.1425061699781194</x:v>
      </x:c>
      <x:c r="AA200" s="26" t="n">
        <x:v>0.16666666666666666</x:v>
      </x:c>
      <x:c r="AB200" s="26" t="n">
        <x:v>0.16666666666666666</x:v>
      </x:c>
      <x:c r="AC200" s="39" t="b">
        <x:v>1</x:v>
      </x:c>
      <x:c r="AD200" s="39" t="b">
        <x:v>1</x:v>
      </x:c>
      <x:c r="AE200" s="39" t="b">
        <x:v>0</x:v>
      </x:c>
      <x:c r="AF200" s="26" t="n">
        <x:v>0.007301587301587299</x:v>
      </x:c>
      <x:c r="AG200" s="26" t="n">
        <x:v>0.009640212</x:v>
      </x:c>
      <x:c r="AH200" s="26" t="n">
        <x:v>475</x:v>
      </x:c>
      <x:c r="AI200" s="26"/>
      <x:c r="AJ200" s="26" t="str">
        <x:v>추가 실험 필요</x:v>
      </x:c>
      <x:c r="AK200" s="27" t="str">
        <x:v>평균 효과 방향은 모두 양수이나 표본 또는 신뢰구간 기준을 통과하지 못함</x:v>
      </x:c>
    </x:row>
    <x:row r="201">
      <x:c r="A201" s="25" t="str">
        <x:v>DRUG GM</x:v>
      </x:c>
      <x:c r="B201" s="26" t="str">
        <x:v>PLASTIC HOUSEWARES</x:v>
      </x:c>
      <x:c r="C201" s="26" t="n">
        <x:v>63</x:v>
      </x:c>
      <x:c r="D201" s="26" t="n">
        <x:v>1429</x:v>
      </x:c>
      <x:c r="E201" s="26" t="n">
        <x:v>1816</x:v>
      </x:c>
      <x:c r="F201" s="26" t="n">
        <x:v>0.00469455371266183</x:v>
      </x:c>
      <x:c r="G201" s="26" t="n">
        <x:v>-0.0002515172232306897</x:v>
      </x:c>
      <x:c r="H201" s="26" t="n">
        <x:v>0.00964062464855435</x:v>
      </x:c>
      <x:c r="I201" s="26" t="n">
        <x:v>0.031419409624667535</x:v>
      </x:c>
      <x:c r="J201" s="26" t="n">
        <x:v>0.009554626095238094</x:v>
      </x:c>
      <x:c r="K201" s="26" t="n">
        <x:v>-0.002186462550939197</x:v>
      </x:c>
      <x:c r="L201" s="26" t="n">
        <x:v>0.021295714741415384</x:v>
      </x:c>
      <x:c r="M201" s="26" t="n">
        <x:v>0.05535582500368151</x:v>
      </x:c>
      <x:c r="N201" s="26" t="n">
        <x:v>0.14285714285714285</x:v>
      </x:c>
      <x:c r="O201" s="26" t="n">
        <x:v>0.14285714285714285</x:v>
      </x:c>
      <x:c r="P201" s="26" t="n">
        <x:v>11</x:v>
      </x:c>
      <x:c r="Q201" s="26" t="n">
        <x:v>197</x:v>
      </x:c>
      <x:c r="R201" s="26" t="n">
        <x:v>197</x:v>
      </x:c>
      <x:c r="S201" s="26" t="n">
        <x:v>0.007701558222244964</x:v>
      </x:c>
      <x:c r="T201" s="26" t="n">
        <x:v>-0.014285334132239966</x:v>
      </x:c>
      <x:c r="U201" s="26" t="n">
        <x:v>0.02968845057672989</x:v>
      </x:c>
      <x:c r="V201" s="26" t="n">
        <x:v>0.2461838442384186</x:v>
      </x:c>
      <x:c r="W201" s="26" t="n">
        <x:v>0.01607195</x:v>
      </x:c>
      <x:c r="X201" s="26" t="n">
        <x:v>-0.05392957457736866</x:v>
      </x:c>
      <x:c r="Y201" s="26" t="n">
        <x:v>0.08607347457736866</x:v>
      </x:c>
      <x:c r="Z201" s="26" t="n">
        <x:v>0.32635349010612624</x:v>
      </x:c>
      <x:c r="AA201" s="26" t="n">
        <x:v>0.18181818181818182</x:v>
      </x:c>
      <x:c r="AB201" s="26" t="n">
        <x:v>0.09090909090909091</x:v>
      </x:c>
      <x:c r="AC201" s="39" t="b">
        <x:v>1</x:v>
      </x:c>
      <x:c r="AD201" s="39" t="b">
        <x:v>1</x:v>
      </x:c>
      <x:c r="AE201" s="39" t="b">
        <x:v>0</x:v>
      </x:c>
      <x:c r="AF201" s="26" t="n">
        <x:v>0.00469455371266183</x:v>
      </x:c>
      <x:c r="AG201" s="26" t="n">
        <x:v>0.009554626095238094</x:v>
      </x:c>
      <x:c r="AH201" s="26" t="n">
        <x:v>197</x:v>
      </x:c>
      <x:c r="AI201" s="26"/>
      <x:c r="AJ201" s="26" t="str">
        <x:v>추가 실험 필요</x:v>
      </x:c>
      <x:c r="AK201" s="27" t="str">
        <x:v>평균 효과 방향은 모두 양수이나 표본 또는 신뢰구간 기준을 통과하지 못함</x:v>
      </x:c>
    </x:row>
    <x:row r="202">
      <x:c r="A202" s="25" t="str">
        <x:v>GROCERY</x:v>
      </x:c>
      <x:c r="B202" s="26" t="str">
        <x:v>BAKING NEEDS</x:v>
      </x:c>
      <x:c r="C202" s="26" t="n">
        <x:v>40</x:v>
      </x:c>
      <x:c r="D202" s="26" t="n">
        <x:v>1884</x:v>
      </x:c>
      <x:c r="E202" s="26" t="n">
        <x:v>4356</x:v>
      </x:c>
      <x:c r="F202" s="26" t="n">
        <x:v>0.002923791970783055</x:v>
      </x:c>
      <x:c r="G202" s="26" t="n">
        <x:v>-0.005759848949384938</x:v>
      </x:c>
      <x:c r="H202" s="26" t="n">
        <x:v>0.011607432890951048</x:v>
      </x:c>
      <x:c r="I202" s="26" t="n">
        <x:v>0.2546480043558752</x:v>
      </x:c>
      <x:c r="J202" s="26" t="n">
        <x:v>0.009270289839999998</x:v>
      </x:c>
      <x:c r="K202" s="26" t="n">
        <x:v>-0.009568015732508144</x:v>
      </x:c>
      <x:c r="L202" s="26" t="n">
        <x:v>0.02810859541250814</x:v>
      </x:c>
      <x:c r="M202" s="26" t="n">
        <x:v>0.16739469672247884</x:v>
      </x:c>
      <x:c r="N202" s="26" t="n">
        <x:v>0.225</x:v>
      </x:c>
      <x:c r="O202" s="26" t="n">
        <x:v>0.25</x:v>
      </x:c>
      <x:c r="P202" s="26" t="n">
        <x:v>20</x:v>
      </x:c>
      <x:c r="Q202" s="26" t="n">
        <x:v>758</x:v>
      </x:c>
      <x:c r="R202" s="26" t="n">
        <x:v>900</x:v>
      </x:c>
      <x:c r="S202" s="26" t="n">
        <x:v>0.012153750966181594</x:v>
      </x:c>
      <x:c r="T202" s="26" t="n">
        <x:v>-0.0052675526035776445</x:v>
      </x:c>
      <x:c r="U202" s="26" t="n">
        <x:v>0.029575054535940833</x:v>
      </x:c>
      <x:c r="V202" s="26" t="n">
        <x:v>0.08575482393284553</x:v>
      </x:c>
      <x:c r="W202" s="26" t="n">
        <x:v>0.019524373400000003</x:v>
      </x:c>
      <x:c r="X202" s="26" t="n">
        <x:v>-0.023916594306371296</x:v>
      </x:c>
      <x:c r="Y202" s="26" t="n">
        <x:v>0.06296534110637131</x:v>
      </x:c>
      <x:c r="Z202" s="26" t="n">
        <x:v>0.1891820897415991</x:v>
      </x:c>
      <x:c r="AA202" s="26" t="n">
        <x:v>0.25</x:v>
      </x:c>
      <x:c r="AB202" s="26" t="n">
        <x:v>0.25</x:v>
      </x:c>
      <x:c r="AC202" s="39" t="b">
        <x:v>1</x:v>
      </x:c>
      <x:c r="AD202" s="39" t="b">
        <x:v>1</x:v>
      </x:c>
      <x:c r="AE202" s="39" t="b">
        <x:v>0</x:v>
      </x:c>
      <x:c r="AF202" s="26" t="n">
        <x:v>0.002923791970783055</x:v>
      </x:c>
      <x:c r="AG202" s="26" t="n">
        <x:v>0.009270289839999998</x:v>
      </x:c>
      <x:c r="AH202" s="26" t="n">
        <x:v>900</x:v>
      </x:c>
      <x:c r="AI202" s="26"/>
      <x:c r="AJ202" s="26" t="str">
        <x:v>추가 실험 필요</x:v>
      </x:c>
      <x:c r="AK202" s="27" t="str">
        <x:v>평균 효과 방향은 모두 양수이나 표본 또는 신뢰구간 기준을 통과하지 못함</x:v>
      </x:c>
    </x:row>
    <x:row r="203">
      <x:c r="A203" s="25" t="str">
        <x:v>GROCERY</x:v>
      </x:c>
      <x:c r="B203" s="26" t="str">
        <x:v>FROZEN PIZZA</x:v>
      </x:c>
      <x:c r="C203" s="26" t="n">
        <x:v>666</x:v>
      </x:c>
      <x:c r="D203" s="26" t="n">
        <x:v>26505</x:v>
      </x:c>
      <x:c r="E203" s="26" t="n">
        <x:v>103196</x:v>
      </x:c>
      <x:c r="F203" s="26" t="n">
        <x:v>0.003069717524736542</x:v>
      </x:c>
      <x:c r="G203" s="26" t="n">
        <x:v>-0.000782055375345272</x:v>
      </x:c>
      <x:c r="H203" s="26" t="n">
        <x:v>0.0069214904248183565</x:v>
      </x:c>
      <x:c r="I203" s="26" t="n">
        <x:v>0.059138579480424995</x:v>
      </x:c>
      <x:c r="J203" s="26" t="n">
        <x:v>0.009259283871921922</x:v>
      </x:c>
      <x:c r="K203" s="26" t="n">
        <x:v>-0.003878239497999047</x:v>
      </x:c>
      <x:c r="L203" s="26" t="n">
        <x:v>0.02239680724184289</x:v>
      </x:c>
      <x:c r="M203" s="26" t="n">
        <x:v>0.08357775025784651</x:v>
      </x:c>
      <x:c r="N203" s="26" t="n">
        <x:v>0.2042042042042042</x:v>
      </x:c>
      <x:c r="O203" s="26" t="n">
        <x:v>0.1996996996996997</x:v>
      </x:c>
      <x:c r="P203" s="26" t="n">
        <x:v>571</x:v>
      </x:c>
      <x:c r="Q203" s="26" t="n">
        <x:v>36022</x:v>
      </x:c>
      <x:c r="R203" s="26" t="n">
        <x:v>144733</x:v>
      </x:c>
      <x:c r="S203" s="26" t="n">
        <x:v>0.004482166253449723</x:v>
      </x:c>
      <x:c r="T203" s="26" t="n">
        <x:v>-0.00018500671707895842</x:v>
      </x:c>
      <x:c r="U203" s="26" t="n">
        <x:v>0.009149339223978405</x:v>
      </x:c>
      <x:c r="V203" s="26" t="n">
        <x:v>0.0298972667504167</x:v>
      </x:c>
      <x:c r="W203" s="26" t="n">
        <x:v>0.015784813495767096</x:v>
      </x:c>
      <x:c r="X203" s="26" t="n">
        <x:v>-0.0008197435198228492</x:v>
      </x:c>
      <x:c r="Y203" s="26" t="n">
        <x:v>0.03238937051135704</x:v>
      </x:c>
      <x:c r="Z203" s="26" t="n">
        <x:v>0.03121442466263609</x:v>
      </x:c>
      <x:c r="AA203" s="26" t="n">
        <x:v>0.2679509632224168</x:v>
      </x:c>
      <x:c r="AB203" s="26" t="n">
        <x:v>0.2609457092819615</x:v>
      </x:c>
      <x:c r="AC203" s="39" t="b">
        <x:v>1</x:v>
      </x:c>
      <x:c r="AD203" s="39" t="b">
        <x:v>1</x:v>
      </x:c>
      <x:c r="AE203" s="39" t="b">
        <x:v>0</x:v>
      </x:c>
      <x:c r="AF203" s="26" t="n">
        <x:v>0.003069717524736542</x:v>
      </x:c>
      <x:c r="AG203" s="26" t="n">
        <x:v>0.009259283871921922</x:v>
      </x:c>
      <x:c r="AH203" s="26" t="n">
        <x:v>103196</x:v>
      </x:c>
      <x:c r="AI203" s="26"/>
      <x:c r="AJ203" s="26" t="str">
        <x:v>추가 실험 필요</x:v>
      </x:c>
      <x:c r="AK203" s="27" t="str">
        <x:v>평균 효과 방향은 모두 양수이나 표본 또는 신뢰구간 기준을 통과하지 못함</x:v>
      </x:c>
    </x:row>
    <x:row r="204">
      <x:c r="A204" s="25" t="str">
        <x:v>DELI</x:v>
      </x:c>
      <x:c r="B204" s="26" t="str">
        <x:v>SALADS/DIPS</x:v>
      </x:c>
      <x:c r="C204" s="26" t="n">
        <x:v>78</x:v>
      </x:c>
      <x:c r="D204" s="26" t="n">
        <x:v>794</x:v>
      </x:c>
      <x:c r="E204" s="26" t="n">
        <x:v>2165</x:v>
      </x:c>
      <x:c r="F204" s="26" t="n">
        <x:v>0.006040598078384852</x:v>
      </x:c>
      <x:c r="G204" s="26" t="n">
        <x:v>0.00004328300559669398</x:v>
      </x:c>
      <x:c r="H204" s="26" t="n">
        <x:v>0.012037913151173009</x:v>
      </x:c>
      <x:c r="I204" s="26" t="n">
        <x:v>0.024182603589756144</x:v>
      </x:c>
      <x:c r="J204" s="26" t="n">
        <x:v>0.008159378089743591</x:v>
      </x:c>
      <x:c r="K204" s="26" t="n">
        <x:v>-0.00980942787945681</x:v>
      </x:c>
      <x:c r="L204" s="26" t="n">
        <x:v>0.026128184058943994</x:v>
      </x:c>
      <x:c r="M204" s="26" t="n">
        <x:v>0.18673079533226483</x:v>
      </x:c>
      <x:c r="N204" s="26" t="n">
        <x:v>0.10256410256410256</x:v>
      </x:c>
      <x:c r="O204" s="26" t="n">
        <x:v>0.08974358974358974</x:v>
      </x:c>
      <x:c r="P204" s="26" t="n">
        <x:v>53</x:v>
      </x:c>
      <x:c r="Q204" s="26" t="n">
        <x:v>1025</x:v>
      </x:c>
      <x:c r="R204" s="26" t="n">
        <x:v>2117</x:v>
      </x:c>
      <x:c r="S204" s="26" t="n">
        <x:v>0.0020716611314544786</x:v>
      </x:c>
      <x:c r="T204" s="26" t="n">
        <x:v>-0.01691037754666397</x:v>
      </x:c>
      <x:c r="U204" s="26" t="n">
        <x:v>0.021053699809572925</x:v>
      </x:c>
      <x:c r="V204" s="26" t="n">
        <x:v>0.41530845815554485</x:v>
      </x:c>
      <x:c r="W204" s="26" t="n">
        <x:v>0.011142446037735851</x:v>
      </x:c>
      <x:c r="X204" s="26" t="n">
        <x:v>-0.020557221973811858</x:v>
      </x:c>
      <x:c r="Y204" s="26" t="n">
        <x:v>0.04284211404928356</x:v>
      </x:c>
      <x:c r="Z204" s="26" t="n">
        <x:v>0.24543026538237855</x:v>
      </x:c>
      <x:c r="AA204" s="26" t="n">
        <x:v>0.16981132075471697</x:v>
      </x:c>
      <x:c r="AB204" s="26" t="n">
        <x:v>0.16981132075471697</x:v>
      </x:c>
      <x:c r="AC204" s="39" t="b">
        <x:v>1</x:v>
      </x:c>
      <x:c r="AD204" s="39" t="b">
        <x:v>1</x:v>
      </x:c>
      <x:c r="AE204" s="39" t="b">
        <x:v>0</x:v>
      </x:c>
      <x:c r="AF204" s="26" t="n">
        <x:v>0.0020716611314544786</x:v>
      </x:c>
      <x:c r="AG204" s="26" t="n">
        <x:v>0.008159378089743591</x:v>
      </x:c>
      <x:c r="AH204" s="26" t="n">
        <x:v>2117</x:v>
      </x:c>
      <x:c r="AI204" s="26"/>
      <x:c r="AJ204" s="26" t="str">
        <x:v>추가 실험 필요</x:v>
      </x:c>
      <x:c r="AK204" s="27" t="str">
        <x:v>평균 효과 방향은 모두 양수이나 표본 또는 신뢰구간 기준을 통과하지 못함</x:v>
      </x:c>
    </x:row>
    <x:row r="205">
      <x:c r="A205" s="25" t="str">
        <x:v>DRUG GM</x:v>
      </x:c>
      <x:c r="B205" s="26" t="str">
        <x:v>BABY FOODS</x:v>
      </x:c>
      <x:c r="C205" s="26" t="n">
        <x:v>59</x:v>
      </x:c>
      <x:c r="D205" s="26" t="n">
        <x:v>233</x:v>
      </x:c>
      <x:c r="E205" s="26" t="n">
        <x:v>296</x:v>
      </x:c>
      <x:c r="F205" s="26" t="n">
        <x:v>0.006622614673462131</x:v>
      </x:c>
      <x:c r="G205" s="26" t="n">
        <x:v>-0.041671037346895534</x:v>
      </x:c>
      <x:c r="H205" s="26" t="n">
        <x:v>0.0549162666938198</x:v>
      </x:c>
      <x:c r="I205" s="26" t="n">
        <x:v>0.3940498352829314</x:v>
      </x:c>
      <x:c r="J205" s="26" t="n">
        <x:v>0.007925210338983052</x:v>
      </x:c>
      <x:c r="K205" s="26" t="n">
        <x:v>-0.03243790094999029</x:v>
      </x:c>
      <x:c r="L205" s="26" t="n">
        <x:v>0.0482883216279564</x:v>
      </x:c>
      <x:c r="M205" s="26" t="n">
        <x:v>0.35017731516874273</x:v>
      </x:c>
      <x:c r="N205" s="26" t="n">
        <x:v>0.06779661016949153</x:v>
      </x:c>
      <x:c r="O205" s="26" t="n">
        <x:v>0.06779661016949153</x:v>
      </x:c>
      <x:c r="P205" s="26" t="n">
        <x:v>37</x:v>
      </x:c>
      <x:c r="Q205" s="26" t="n">
        <x:v>124</x:v>
      </x:c>
      <x:c r="R205" s="26" t="n">
        <x:v>124</x:v>
      </x:c>
      <x:c r="S205" s="26" t="n">
        <x:v>0.03543543543543544</x:v>
      </x:c>
      <x:c r="T205" s="26" t="n">
        <x:v>-0.01842604870572339</x:v>
      </x:c>
      <x:c r="U205" s="26" t="n">
        <x:v>0.08929691957659427</x:v>
      </x:c>
      <x:c r="V205" s="26" t="n">
        <x:v>0.09861515875923936</x:v>
      </x:c>
      <x:c r="W205" s="26" t="n">
        <x:v>0.028348348378378376</x:v>
      </x:c>
      <x:c r="X205" s="26" t="n">
        <x:v>-0.014740838939051069</x:v>
      </x:c>
      <x:c r="Y205" s="26" t="n">
        <x:v>0.07143753569580782</x:v>
      </x:c>
      <x:c r="Z205" s="26" t="n">
        <x:v>0.09861515854535084</x:v>
      </x:c>
      <x:c r="AA205" s="26" t="n">
        <x:v>0.08108108108108109</x:v>
      </x:c>
      <x:c r="AB205" s="26" t="n">
        <x:v>0.08108108108108109</x:v>
      </x:c>
      <x:c r="AC205" s="39" t="b">
        <x:v>1</x:v>
      </x:c>
      <x:c r="AD205" s="39" t="b">
        <x:v>1</x:v>
      </x:c>
      <x:c r="AE205" s="39" t="b">
        <x:v>0</x:v>
      </x:c>
      <x:c r="AF205" s="26" t="n">
        <x:v>0.006622614673462131</x:v>
      </x:c>
      <x:c r="AG205" s="26" t="n">
        <x:v>0.007925210338983052</x:v>
      </x:c>
      <x:c r="AH205" s="26" t="n">
        <x:v>124</x:v>
      </x:c>
      <x:c r="AI205" s="26"/>
      <x:c r="AJ205" s="26" t="str">
        <x:v>추가 실험 필요</x:v>
      </x:c>
      <x:c r="AK205" s="27" t="str">
        <x:v>평균 효과 방향은 모두 양수이나 표본 또는 신뢰구간 기준을 통과하지 못함</x:v>
      </x:c>
    </x:row>
    <x:row r="206">
      <x:c r="A206" s="25" t="str">
        <x:v>DRUG GM</x:v>
      </x:c>
      <x:c r="B206" s="26" t="str">
        <x:v>SHAVING CARE PRODUCTS</x:v>
      </x:c>
      <x:c r="C206" s="26" t="n">
        <x:v>179</x:v>
      </x:c>
      <x:c r="D206" s="26" t="n">
        <x:v>4279</x:v>
      </x:c>
      <x:c r="E206" s="26" t="n">
        <x:v>6413</x:v>
      </x:c>
      <x:c r="F206" s="26" t="n">
        <x:v>0.0014403451011295717</x:v>
      </x:c>
      <x:c r="G206" s="26" t="n">
        <x:v>-0.0010948965988659674</x:v>
      </x:c>
      <x:c r="H206" s="26" t="n">
        <x:v>0.00397558680112511</x:v>
      </x:c>
      <x:c r="I206" s="26" t="n">
        <x:v>0.1327396984747545</x:v>
      </x:c>
      <x:c r="J206" s="26" t="n">
        <x:v>0.00778834279329609</x:v>
      </x:c>
      <x:c r="K206" s="26" t="n">
        <x:v>-0.004277556798064421</x:v>
      </x:c>
      <x:c r="L206" s="26" t="n">
        <x:v>0.0198542423846566</x:v>
      </x:c>
      <x:c r="M206" s="26" t="n">
        <x:v>0.10290909285140305</x:v>
      </x:c>
      <x:c r="N206" s="26" t="n">
        <x:v>0.10614525139664804</x:v>
      </x:c>
      <x:c r="O206" s="26" t="n">
        <x:v>0.11173184357541899</x:v>
      </x:c>
      <x:c r="P206" s="26" t="n">
        <x:v>81</x:v>
      </x:c>
      <x:c r="Q206" s="26" t="n">
        <x:v>1335</x:v>
      </x:c>
      <x:c r="R206" s="26" t="n">
        <x:v>1761</x:v>
      </x:c>
      <x:c r="S206" s="26" t="n">
        <x:v>0.005302985749602474</x:v>
      </x:c>
      <x:c r="T206" s="26" t="n">
        <x:v>-0.00011889949837293797</x:v>
      </x:c>
      <x:c r="U206" s="26" t="n">
        <x:v>0.010724870997577886</x:v>
      </x:c>
      <x:c r="V206" s="26" t="n">
        <x:v>0.027617817134912757</x:v>
      </x:c>
      <x:c r="W206" s="26" t="n">
        <x:v>0.04746486401234568</x:v>
      </x:c>
      <x:c r="X206" s="26" t="n">
        <x:v>-0.007109358106141175</x:v>
      </x:c>
      <x:c r="Y206" s="26" t="n">
        <x:v>0.10203908613083254</x:v>
      </x:c>
      <x:c r="Z206" s="26" t="n">
        <x:v>0.04412783286125524</x:v>
      </x:c>
      <x:c r="AA206" s="26" t="n">
        <x:v>0.1111111111111111</x:v>
      </x:c>
      <x:c r="AB206" s="26" t="n">
        <x:v>0.1111111111111111</x:v>
      </x:c>
      <x:c r="AC206" s="39" t="b">
        <x:v>1</x:v>
      </x:c>
      <x:c r="AD206" s="39" t="b">
        <x:v>1</x:v>
      </x:c>
      <x:c r="AE206" s="39" t="b">
        <x:v>0</x:v>
      </x:c>
      <x:c r="AF206" s="26" t="n">
        <x:v>0.0014403451011295717</x:v>
      </x:c>
      <x:c r="AG206" s="26" t="n">
        <x:v>0.00778834279329609</x:v>
      </x:c>
      <x:c r="AH206" s="26" t="n">
        <x:v>1761</x:v>
      </x:c>
      <x:c r="AI206" s="26"/>
      <x:c r="AJ206" s="26" t="str">
        <x:v>추가 실험 필요</x:v>
      </x:c>
      <x:c r="AK206" s="27" t="str">
        <x:v>평균 효과 방향은 모두 양수이나 표본 또는 신뢰구간 기준을 통과하지 못함</x:v>
      </x:c>
    </x:row>
    <x:row r="207">
      <x:c r="A207" s="25" t="str">
        <x:v>DRUG GM</x:v>
      </x:c>
      <x:c r="B207" s="26" t="str">
        <x:v>GREETING CARDS/WRAP/PARTY SPLY</x:v>
      </x:c>
      <x:c r="C207" s="26" t="n">
        <x:v>27</x:v>
      </x:c>
      <x:c r="D207" s="26" t="n">
        <x:v>194</x:v>
      </x:c>
      <x:c r="E207" s="26" t="n">
        <x:v>231</x:v>
      </x:c>
      <x:c r="F207" s="26" t="n">
        <x:v>0.013997334134633903</x:v>
      </x:c>
      <x:c r="G207" s="26" t="n">
        <x:v>-0.001240223993483669</x:v>
      </x:c>
      <x:c r="H207" s="26" t="n">
        <x:v>0.029234892262751475</x:v>
      </x:c>
      <x:c r="I207" s="26" t="n">
        <x:v>0.035893183601728475</x:v>
      </x:c>
      <x:c r="J207" s="26" t="n">
        <x:v>0.015946652222222222</x:v>
      </x:c>
      <x:c r="K207" s="26" t="n">
        <x:v>-0.0004556484210488411</x:v>
      </x:c>
      <x:c r="L207" s="26" t="n">
        <x:v>0.03234895286549329</x:v>
      </x:c>
      <x:c r="M207" s="26" t="n">
        <x:v>0.028354171213554276</x:v>
      </x:c>
      <x:c r="N207" s="26" t="n">
        <x:v>0.14814814814814814</x:v>
      </x:c>
      <x:c r="O207" s="26" t="n">
        <x:v>0.14814814814814814</x:v>
      </x:c>
      <x:c r="P207" s="26" t="n">
        <x:v>17</x:v>
      </x:c>
      <x:c r="Q207" s="26" t="n">
        <x:v>111</x:v>
      </x:c>
      <x:c r="R207" s="26" t="n">
        <x:v>111</x:v>
      </x:c>
      <x:c r="S207" s="26" t="n">
        <x:v>0.003921568627450976</x:v>
      </x:c>
      <x:c r="T207" s="26" t="n">
        <x:v>-0.0037647058823529365</x:v>
      </x:c>
      <x:c r="U207" s="26" t="n">
        <x:v>0.011607843137254888</x:v>
      </x:c>
      <x:c r="V207" s="26" t="n">
        <x:v>0.15865525393145705</x:v>
      </x:c>
      <x:c r="W207" s="26" t="n">
        <x:v>0.007598039411764705</x:v>
      </x:c>
      <x:c r="X207" s="26" t="n">
        <x:v>-0.0026039340813860286</x:v>
      </x:c>
      <x:c r="Y207" s="26" t="n">
        <x:v>0.017800012904915438</x:v>
      </x:c>
      <x:c r="Z207" s="26" t="n">
        <x:v>0.07218173603174753</x:v>
      </x:c>
      <x:c r="AA207" s="26" t="n">
        <x:v>0.058823529411764705</x:v>
      </x:c>
      <x:c r="AB207" s="26" t="n">
        <x:v>0.11764705882352941</x:v>
      </x:c>
      <x:c r="AC207" s="39" t="b">
        <x:v>1</x:v>
      </x:c>
      <x:c r="AD207" s="39" t="b">
        <x:v>1</x:v>
      </x:c>
      <x:c r="AE207" s="39" t="b">
        <x:v>0</x:v>
      </x:c>
      <x:c r="AF207" s="26" t="n">
        <x:v>0.003921568627450976</x:v>
      </x:c>
      <x:c r="AG207" s="26" t="n">
        <x:v>0.007598039411764705</x:v>
      </x:c>
      <x:c r="AH207" s="26" t="n">
        <x:v>111</x:v>
      </x:c>
      <x:c r="AI207" s="26"/>
      <x:c r="AJ207" s="26" t="str">
        <x:v>추가 실험 필요</x:v>
      </x:c>
      <x:c r="AK207" s="27" t="str">
        <x:v>평균 효과 방향은 모두 양수이나 표본 또는 신뢰구간 기준을 통과하지 못함</x:v>
      </x:c>
    </x:row>
    <x:row r="208">
      <x:c r="A208" s="25" t="str">
        <x:v>GROCERY</x:v>
      </x:c>
      <x:c r="B208" s="26" t="str">
        <x:v>HOUSEHOLD CLEANG NEEDS</x:v>
      </x:c>
      <x:c r="C208" s="26" t="n">
        <x:v>97</x:v>
      </x:c>
      <x:c r="D208" s="26" t="n">
        <x:v>1202</x:v>
      </x:c>
      <x:c r="E208" s="26" t="n">
        <x:v>1709</x:v>
      </x:c>
      <x:c r="F208" s="26" t="n">
        <x:v>0.0027359151113093673</x:v>
      </x:c>
      <x:c r="G208" s="26" t="n">
        <x:v>-0.005559998944269587</x:v>
      </x:c>
      <x:c r="H208" s="26" t="n">
        <x:v>0.011031829166888323</x:v>
      </x:c>
      <x:c r="I208" s="26" t="n">
        <x:v>0.25901349599765205</x:v>
      </x:c>
      <x:c r="J208" s="26" t="n">
        <x:v>0.007222792886597938</x:v>
      </x:c>
      <x:c r="K208" s="26" t="n">
        <x:v>-0.018653046558028887</x:v>
      </x:c>
      <x:c r="L208" s="26" t="n">
        <x:v>0.033098632331224766</x:v>
      </x:c>
      <x:c r="M208" s="26" t="n">
        <x:v>0.29215498563821296</x:v>
      </x:c>
      <x:c r="N208" s="26" t="n">
        <x:v>0.09278350515463918</x:v>
      </x:c>
      <x:c r="O208" s="26" t="n">
        <x:v>0.10309278350515463</x:v>
      </x:c>
      <x:c r="P208" s="26" t="n">
        <x:v>34</x:v>
      </x:c>
      <x:c r="Q208" s="26" t="n">
        <x:v>714</x:v>
      </x:c>
      <x:c r="R208" s="26" t="n">
        <x:v>879</x:v>
      </x:c>
      <x:c r="S208" s="26" t="n">
        <x:v>0.030941641252107174</x:v>
      </x:c>
      <x:c r="T208" s="26" t="n">
        <x:v>-0.026741107351717378</x:v>
      </x:c>
      <x:c r="U208" s="26" t="n">
        <x:v>0.08862438985593173</x:v>
      </x:c>
      <x:c r="V208" s="26" t="n">
        <x:v>0.146545516514603</x:v>
      </x:c>
      <x:c r="W208" s="26" t="n">
        <x:v>0.08007032897058824</x:v>
      </x:c>
      <x:c r="X208" s="26" t="n">
        <x:v>-0.06425278768791828</x:v>
      </x:c>
      <x:c r="Y208" s="26" t="n">
        <x:v>0.22439344562909477</x:v>
      </x:c>
      <x:c r="Z208" s="26" t="n">
        <x:v>0.13842867700115022</x:v>
      </x:c>
      <x:c r="AA208" s="26" t="n">
        <x:v>0.14705882352941177</x:v>
      </x:c>
      <x:c r="AB208" s="26" t="n">
        <x:v>0.14705882352941177</x:v>
      </x:c>
      <x:c r="AC208" s="39" t="b">
        <x:v>1</x:v>
      </x:c>
      <x:c r="AD208" s="39" t="b">
        <x:v>1</x:v>
      </x:c>
      <x:c r="AE208" s="39" t="b">
        <x:v>0</x:v>
      </x:c>
      <x:c r="AF208" s="26" t="n">
        <x:v>0.0027359151113093673</x:v>
      </x:c>
      <x:c r="AG208" s="26" t="n">
        <x:v>0.007222792886597938</x:v>
      </x:c>
      <x:c r="AH208" s="26" t="n">
        <x:v>879</x:v>
      </x:c>
      <x:c r="AI208" s="26"/>
      <x:c r="AJ208" s="26" t="str">
        <x:v>추가 실험 필요</x:v>
      </x:c>
      <x:c r="AK208" s="27" t="str">
        <x:v>평균 효과 방향은 모두 양수이나 표본 또는 신뢰구간 기준을 통과하지 못함</x:v>
      </x:c>
    </x:row>
    <x:row r="209">
      <x:c r="A209" s="25" t="str">
        <x:v>GROCERY</x:v>
      </x:c>
      <x:c r="B209" s="26" t="str">
        <x:v>COFFEE</x:v>
      </x:c>
      <x:c r="C209" s="26" t="n">
        <x:v>161</x:v>
      </x:c>
      <x:c r="D209" s="26" t="n">
        <x:v>5089</x:v>
      </x:c>
      <x:c r="E209" s="26" t="n">
        <x:v>15835</x:v>
      </x:c>
      <x:c r="F209" s="26" t="n">
        <x:v>0.0016133407282229216</x:v>
      </x:c>
      <x:c r="G209" s="26" t="n">
        <x:v>-0.0020838469545217033</x:v>
      </x:c>
      <x:c r="H209" s="26" t="n">
        <x:v>0.005310528410967547</x:v>
      </x:c>
      <x:c r="I209" s="26" t="n">
        <x:v>0.1961967950678755</x:v>
      </x:c>
      <x:c r="J209" s="26" t="n">
        <x:v>0.007202131560869566</x:v>
      </x:c>
      <x:c r="K209" s="26" t="n">
        <x:v>-0.01031513569887282</x:v>
      </x:c>
      <x:c r="L209" s="26" t="n">
        <x:v>0.024719398820611953</x:v>
      </x:c>
      <x:c r="M209" s="26" t="n">
        <x:v>0.21016651493791172</x:v>
      </x:c>
      <x:c r="N209" s="26" t="n">
        <x:v>0.13043478260869565</x:v>
      </x:c>
      <x:c r="O209" s="26" t="n">
        <x:v>0.11801242236024845</x:v>
      </x:c>
      <x:c r="P209" s="26" t="n">
        <x:v>100</x:v>
      </x:c>
      <x:c r="Q209" s="26" t="n">
        <x:v>3586</x:v>
      </x:c>
      <x:c r="R209" s="26" t="n">
        <x:v>5226</x:v>
      </x:c>
      <x:c r="S209" s="26" t="n">
        <x:v>0.001540516628118322</x:v>
      </x:c>
      <x:c r="T209" s="26" t="n">
        <x:v>-0.0019726824279751873</x:v>
      </x:c>
      <x:c r="U209" s="26" t="n">
        <x:v>0.005053715684211832</x:v>
      </x:c>
      <x:c r="V209" s="26" t="n">
        <x:v>0.1950466445748324</x:v>
      </x:c>
      <x:c r="W209" s="26" t="n">
        <x:v>0.009734386438</x:v>
      </x:c>
      <x:c r="X209" s="26" t="n">
        <x:v>-0.009316015131687833</x:v>
      </x:c>
      <x:c r="Y209" s="26" t="n">
        <x:v>0.028784788007687835</x:v>
      </x:c>
      <x:c r="Z209" s="26" t="n">
        <x:v>0.1582872403218909</x:v>
      </x:c>
      <x:c r="AA209" s="26" t="n">
        <x:v>0.11</x:v>
      </x:c>
      <x:c r="AB209" s="26" t="n">
        <x:v>0.11</x:v>
      </x:c>
      <x:c r="AC209" s="39" t="b">
        <x:v>1</x:v>
      </x:c>
      <x:c r="AD209" s="39" t="b">
        <x:v>1</x:v>
      </x:c>
      <x:c r="AE209" s="39" t="b">
        <x:v>0</x:v>
      </x:c>
      <x:c r="AF209" s="26" t="n">
        <x:v>0.001540516628118322</x:v>
      </x:c>
      <x:c r="AG209" s="26" t="n">
        <x:v>0.007202131560869566</x:v>
      </x:c>
      <x:c r="AH209" s="26" t="n">
        <x:v>5226</x:v>
      </x:c>
      <x:c r="AI209" s="26"/>
      <x:c r="AJ209" s="26" t="str">
        <x:v>추가 실험 필요</x:v>
      </x:c>
      <x:c r="AK209" s="27" t="str">
        <x:v>평균 효과 방향은 모두 양수이나 표본 또는 신뢰구간 기준을 통과하지 못함</x:v>
      </x:c>
    </x:row>
    <x:row r="210">
      <x:c r="A210" s="25" t="str">
        <x:v>DRUG GM</x:v>
      </x:c>
      <x:c r="B210" s="26" t="str">
        <x:v>BABY HBC</x:v>
      </x:c>
      <x:c r="C210" s="26" t="n">
        <x:v>137</x:v>
      </x:c>
      <x:c r="D210" s="26" t="n">
        <x:v>1937</x:v>
      </x:c>
      <x:c r="E210" s="26" t="n">
        <x:v>2860</x:v>
      </x:c>
      <x:c r="F210" s="26" t="n">
        <x:v>0.0031010808895386537</x:v>
      </x:c>
      <x:c r="G210" s="26" t="n">
        <x:v>-0.0009202940430484956</x:v>
      </x:c>
      <x:c r="H210" s="26" t="n">
        <x:v>0.007122455822125803</x:v>
      </x:c>
      <x:c r="I210" s="26" t="n">
        <x:v>0.06533655831282716</x:v>
      </x:c>
      <x:c r="J210" s="26" t="n">
        <x:v>0.009703583846715328</x:v>
      </x:c>
      <x:c r="K210" s="26" t="n">
        <x:v>-0.006591382362313276</x:v>
      </x:c>
      <x:c r="L210" s="26" t="n">
        <x:v>0.025998550055743933</x:v>
      </x:c>
      <x:c r="M210" s="26" t="n">
        <x:v>0.12157050706136674</x:v>
      </x:c>
      <x:c r="N210" s="26" t="n">
        <x:v>0.0948905109489051</x:v>
      </x:c>
      <x:c r="O210" s="26" t="n">
        <x:v>0.10218978102189781</x:v>
      </x:c>
      <x:c r="P210" s="26" t="n">
        <x:v>62</x:v>
      </x:c>
      <x:c r="Q210" s="26" t="n">
        <x:v>1104</x:v>
      </x:c>
      <x:c r="R210" s="26" t="n">
        <x:v>1268</x:v>
      </x:c>
      <x:c r="S210" s="26" t="n">
        <x:v>0.0016758585725212339</x:v>
      </x:c>
      <x:c r="T210" s="26" t="n">
        <x:v>-0.004182998194960265</x:v>
      </x:c>
      <x:c r="U210" s="26" t="n">
        <x:v>0.007534715340002733</x:v>
      </x:c>
      <x:c r="V210" s="26" t="n">
        <x:v>0.2875230397664841</x:v>
      </x:c>
      <x:c r="W210" s="26" t="n">
        <x:v>0.00701124464516129</x:v>
      </x:c>
      <x:c r="X210" s="26" t="n">
        <x:v>-0.018434120668535583</x:v>
      </x:c>
      <x:c r="Y210" s="26" t="n">
        <x:v>0.032456609958858164</x:v>
      </x:c>
      <x:c r="Z210" s="26" t="n">
        <x:v>0.29457761725345344</x:v>
      </x:c>
      <x:c r="AA210" s="26" t="n">
        <x:v>0.11290322580645161</x:v>
      </x:c>
      <x:c r="AB210" s="26" t="n">
        <x:v>0.11290322580645161</x:v>
      </x:c>
      <x:c r="AC210" s="39" t="b">
        <x:v>1</x:v>
      </x:c>
      <x:c r="AD210" s="39" t="b">
        <x:v>1</x:v>
      </x:c>
      <x:c r="AE210" s="39" t="b">
        <x:v>0</x:v>
      </x:c>
      <x:c r="AF210" s="26" t="n">
        <x:v>0.0016758585725212339</x:v>
      </x:c>
      <x:c r="AG210" s="26" t="n">
        <x:v>0.00701124464516129</x:v>
      </x:c>
      <x:c r="AH210" s="26" t="n">
        <x:v>1268</x:v>
      </x:c>
      <x:c r="AI210" s="26"/>
      <x:c r="AJ210" s="26" t="str">
        <x:v>추가 실험 필요</x:v>
      </x:c>
      <x:c r="AK210" s="27" t="str">
        <x:v>평균 효과 방향은 모두 양수이나 표본 또는 신뢰구간 기준을 통과하지 못함</x:v>
      </x:c>
    </x:row>
    <x:row r="211">
      <x:c r="A211" s="25" t="str">
        <x:v>GROCERY</x:v>
      </x:c>
      <x:c r="B211" s="26" t="str">
        <x:v>COOKIES/CONES</x:v>
      </x:c>
      <x:c r="C211" s="26" t="n">
        <x:v>391</x:v>
      </x:c>
      <x:c r="D211" s="26" t="n">
        <x:v>17690</x:v>
      </x:c>
      <x:c r="E211" s="26" t="n">
        <x:v>72641</x:v>
      </x:c>
      <x:c r="F211" s="26" t="n">
        <x:v>0.0028431652310707245</x:v>
      </x:c>
      <x:c r="G211" s="26" t="n">
        <x:v>0.00009606592519953352</x:v>
      </x:c>
      <x:c r="H211" s="26" t="n">
        <x:v>0.005590264536941916</x:v>
      </x:c>
      <x:c r="I211" s="26" t="n">
        <x:v>0.021252526414608886</x:v>
      </x:c>
      <x:c r="J211" s="26" t="n">
        <x:v>0.006061432902046035</x:v>
      </x:c>
      <x:c r="K211" s="26" t="n">
        <x:v>0.00027248204379683085</x:v>
      </x:c>
      <x:c r="L211" s="26" t="n">
        <x:v>0.011850383760295239</x:v>
      </x:c>
      <x:c r="M211" s="26" t="n">
        <x:v>0.020072400257233117</x:v>
      </x:c>
      <x:c r="N211" s="26" t="n">
        <x:v>0.1815856777493606</x:v>
      </x:c>
      <x:c r="O211" s="26" t="n">
        <x:v>0.17135549872122763</x:v>
      </x:c>
      <x:c r="P211" s="26" t="n">
        <x:v>240</x:v>
      </x:c>
      <x:c r="Q211" s="26" t="n">
        <x:v>12381</x:v>
      </x:c>
      <x:c r="R211" s="26" t="n">
        <x:v>30048</x:v>
      </x:c>
      <x:c r="S211" s="26" t="n">
        <x:v>0.0027777054524033844</x:v>
      </x:c>
      <x:c r="T211" s="26" t="n">
        <x:v>-0.00042937826819923605</x:v>
      </x:c>
      <x:c r="U211" s="26" t="n">
        <x:v>0.005984789173006004</x:v>
      </x:c>
      <x:c r="V211" s="26" t="n">
        <x:v>0.04479289689969496</x:v>
      </x:c>
      <x:c r="W211" s="26" t="n">
        <x:v>0.006818722362083333</x:v>
      </x:c>
      <x:c r="X211" s="26" t="n">
        <x:v>-0.0021927526473534773</x:v>
      </x:c>
      <x:c r="Y211" s="26" t="n">
        <x:v>0.015830197371520145</x:v>
      </x:c>
      <x:c r="Z211" s="26" t="n">
        <x:v>0.06902720537882666</x:v>
      </x:c>
      <x:c r="AA211" s="26" t="n">
        <x:v>0.18333333333333332</x:v>
      </x:c>
      <x:c r="AB211" s="26" t="n">
        <x:v>0.18333333333333332</x:v>
      </x:c>
      <x:c r="AC211" s="39" t="b">
        <x:v>1</x:v>
      </x:c>
      <x:c r="AD211" s="39" t="b">
        <x:v>1</x:v>
      </x:c>
      <x:c r="AE211" s="39" t="b">
        <x:v>0</x:v>
      </x:c>
      <x:c r="AF211" s="26" t="n">
        <x:v>0.0027777054524033844</x:v>
      </x:c>
      <x:c r="AG211" s="26" t="n">
        <x:v>0.006061432902046035</x:v>
      </x:c>
      <x:c r="AH211" s="26" t="n">
        <x:v>30048</x:v>
      </x:c>
      <x:c r="AI211" s="26"/>
      <x:c r="AJ211" s="26" t="str">
        <x:v>추가 실험 필요</x:v>
      </x:c>
      <x:c r="AK211" s="27" t="str">
        <x:v>평균 효과 방향은 모두 양수이나 표본 또는 신뢰구간 기준을 통과하지 못함</x:v>
      </x:c>
    </x:row>
    <x:row r="212">
      <x:c r="A212" s="25" t="str">
        <x:v>MEAT-PCKGD</x:v>
      </x:c>
      <x:c r="B212" s="26" t="str">
        <x:v>FROZEN MEAT</x:v>
      </x:c>
      <x:c r="C212" s="26" t="n">
        <x:v>166</x:v>
      </x:c>
      <x:c r="D212" s="26" t="n">
        <x:v>4075</x:v>
      </x:c>
      <x:c r="E212" s="26" t="n">
        <x:v>9301</x:v>
      </x:c>
      <x:c r="F212" s="26" t="n">
        <x:v>0.006945891987900703</x:v>
      </x:c>
      <x:c r="G212" s="26" t="n">
        <x:v>0.0005715315151876591</x:v>
      </x:c>
      <x:c r="H212" s="26" t="n">
        <x:v>0.013320252460613746</x:v>
      </x:c>
      <x:c r="I212" s="26" t="n">
        <x:v>0.016350487340569143</x:v>
      </x:c>
      <x:c r="J212" s="26" t="n">
        <x:v>0.03041945720963856</x:v>
      </x:c>
      <x:c r="K212" s="26" t="n">
        <x:v>-0.005214438845797684</x:v>
      </x:c>
      <x:c r="L212" s="26" t="n">
        <x:v>0.0660533532650748</x:v>
      </x:c>
      <x:c r="M212" s="26" t="n">
        <x:v>0.04714534242000631</x:v>
      </x:c>
      <x:c r="N212" s="26" t="n">
        <x:v>0.24096385542168675</x:v>
      </x:c>
      <x:c r="O212" s="26" t="n">
        <x:v>0.24096385542168675</x:v>
      </x:c>
      <x:c r="P212" s="26" t="n">
        <x:v>83</x:v>
      </x:c>
      <x:c r="Q212" s="26" t="n">
        <x:v>2163</x:v>
      </x:c>
      <x:c r="R212" s="26" t="n">
        <x:v>3136</x:v>
      </x:c>
      <x:c r="S212" s="26" t="n">
        <x:v>0.0015502124057030374</x:v>
      </x:c>
      <x:c r="T212" s="26" t="n">
        <x:v>-0.006834359414350089</x:v>
      </x:c>
      <x:c r="U212" s="26" t="n">
        <x:v>0.009934784225756164</x:v>
      </x:c>
      <x:c r="V212" s="26" t="n">
        <x:v>0.3585333651802365</x:v>
      </x:c>
      <x:c r="W212" s="26" t="n">
        <x:v>0.0058401556867469905</x:v>
      </x:c>
      <x:c r="X212" s="26" t="n">
        <x:v>-0.031587254011437395</x:v>
      </x:c>
      <x:c r="Y212" s="26" t="n">
        <x:v>0.04326756538493138</x:v>
      </x:c>
      <x:c r="Z212" s="26" t="n">
        <x:v>0.37986419009888484</x:v>
      </x:c>
      <x:c r="AA212" s="26" t="n">
        <x:v>0.20481927710843373</x:v>
      </x:c>
      <x:c r="AB212" s="26" t="n">
        <x:v>0.1927710843373494</x:v>
      </x:c>
      <x:c r="AC212" s="39" t="b">
        <x:v>1</x:v>
      </x:c>
      <x:c r="AD212" s="39" t="b">
        <x:v>1</x:v>
      </x:c>
      <x:c r="AE212" s="39" t="b">
        <x:v>0</x:v>
      </x:c>
      <x:c r="AF212" s="26" t="n">
        <x:v>0.0015502124057030374</x:v>
      </x:c>
      <x:c r="AG212" s="26" t="n">
        <x:v>0.0058401556867469905</x:v>
      </x:c>
      <x:c r="AH212" s="26" t="n">
        <x:v>3136</x:v>
      </x:c>
      <x:c r="AI212" s="26"/>
      <x:c r="AJ212" s="26" t="str">
        <x:v>추가 실험 필요</x:v>
      </x:c>
      <x:c r="AK212" s="27" t="str">
        <x:v>평균 효과 방향은 모두 양수이나 표본 또는 신뢰구간 기준을 통과하지 못함</x:v>
      </x:c>
    </x:row>
    <x:row r="213">
      <x:c r="A213" s="25" t="str">
        <x:v>GROCERY</x:v>
      </x:c>
      <x:c r="B213" s="26" t="str">
        <x:v>MEAT - SHELF STABLE</x:v>
      </x:c>
      <x:c r="C213" s="26" t="n">
        <x:v>184</x:v>
      </x:c>
      <x:c r="D213" s="26" t="n">
        <x:v>5779</x:v>
      </x:c>
      <x:c r="E213" s="26" t="n">
        <x:v>30145</x:v>
      </x:c>
      <x:c r="F213" s="26" t="n">
        <x:v>0.007502063487820842</x:v>
      </x:c>
      <x:c r="G213" s="26" t="n">
        <x:v>0.00018720002024458313</x:v>
      </x:c>
      <x:c r="H213" s="26" t="n">
        <x:v>0.0148169269553971</x:v>
      </x:c>
      <x:c r="I213" s="26" t="n">
        <x:v>0.022207139648355773</x:v>
      </x:c>
      <x:c r="J213" s="26" t="n">
        <x:v>0.024447153263586954</x:v>
      </x:c>
      <x:c r="K213" s="26" t="n">
        <x:v>0.001394508882209971</x:v>
      </x:c>
      <x:c r="L213" s="26" t="n">
        <x:v>0.04749979764496394</x:v>
      </x:c>
      <x:c r="M213" s="26" t="n">
        <x:v>0.018828674117159164</x:v>
      </x:c>
      <x:c r="N213" s="26" t="n">
        <x:v>0.15217391304347827</x:v>
      </x:c>
      <x:c r="O213" s="26" t="n">
        <x:v>0.14673913043478262</x:v>
      </x:c>
      <x:c r="P213" s="26" t="n">
        <x:v>162</x:v>
      </x:c>
      <x:c r="Q213" s="26" t="n">
        <x:v>5095</x:v>
      </x:c>
      <x:c r="R213" s="26" t="n">
        <x:v>13701</x:v>
      </x:c>
      <x:c r="S213" s="26" t="n">
        <x:v>-0.001016844110252643</x:v>
      </x:c>
      <x:c r="T213" s="26" t="n">
        <x:v>-0.009715921122273163</x:v>
      </x:c>
      <x:c r="U213" s="26" t="n">
        <x:v>0.007682232901767876</x:v>
      </x:c>
      <x:c r="V213" s="26" t="n">
        <x:v>0.5906069010199113</x:v>
      </x:c>
      <x:c r="W213" s="26" t="n">
        <x:v>0.005580512117283952</x:v>
      </x:c>
      <x:c r="X213" s="26" t="n">
        <x:v>-0.02488668827397056</x:v>
      </x:c>
      <x:c r="Y213" s="26" t="n">
        <x:v>0.036047712508538464</x:v>
      </x:c>
      <x:c r="Z213" s="26" t="n">
        <x:v>0.35979657709626833</x:v>
      </x:c>
      <x:c r="AA213" s="26" t="n">
        <x:v>0.1111111111111111</x:v>
      </x:c>
      <x:c r="AB213" s="26" t="n">
        <x:v>0.11728395061728394</x:v>
      </x:c>
      <x:c r="AC213" s="39" t="b">
        <x:v>1</x:v>
      </x:c>
      <x:c r="AD213" s="39" t="b">
        <x:v>1</x:v>
      </x:c>
      <x:c r="AE213" s="39" t="b">
        <x:v>0</x:v>
      </x:c>
      <x:c r="AF213" s="26" t="n">
        <x:v>-0.001016844110252643</x:v>
      </x:c>
      <x:c r="AG213" s="26" t="n">
        <x:v>0.005580512117283952</x:v>
      </x:c>
      <x:c r="AH213" s="26" t="n">
        <x:v>13701</x:v>
      </x:c>
      <x:c r="AI213" s="26"/>
      <x:c r="AJ213" s="26" t="str">
        <x:v>추가 실험 필요</x:v>
      </x:c>
      <x:c r="AK213" s="27" t="str">
        <x:v>평균 효과 방향은 모두 양수이나 표본 또는 신뢰구간 기준을 통과하지 못함</x:v>
      </x:c>
    </x:row>
    <x:row r="214">
      <x:c r="A214" s="25" t="str">
        <x:v>TRAVEL &amp; LEISUR</x:v>
      </x:c>
      <x:c r="B214" s="26" t="str">
        <x:v>APPLES</x:v>
      </x:c>
      <x:c r="C214" s="26" t="n">
        <x:v>5</x:v>
      </x:c>
      <x:c r="D214" s="26" t="n">
        <x:v>244</x:v>
      </x:c>
      <x:c r="E214" s="26" t="n">
        <x:v>456</x:v>
      </x:c>
      <x:c r="F214" s="26" t="n">
        <x:v>0.01662004662004662</x:v>
      </x:c>
      <x:c r="G214" s="26" t="n">
        <x:v>-0.018805037894279297</x:v>
      </x:c>
      <x:c r="H214" s="26" t="n">
        <x:v>0.052045131134372535</x:v>
      </x:c>
      <x:c r="I214" s="26" t="n">
        <x:v>0.17890283974010704</x:v>
      </x:c>
      <x:c r="J214" s="26" t="n">
        <x:v>0.04968822616</x:v>
      </x:c>
      <x:c r="K214" s="26" t="n">
        <x:v>-0.04909862755975987</x:v>
      </x:c>
      <x:c r="L214" s="26" t="n">
        <x:v>0.14847507987975989</x:v>
      </x:c>
      <x:c r="M214" s="26" t="n">
        <x:v>0.16210360249383615</x:v>
      </x:c>
      <x:c r="N214" s="26" t="n">
        <x:v>0.2</x:v>
      </x:c>
      <x:c r="O214" s="26" t="n">
        <x:v>0.2</x:v>
      </x:c>
      <x:c r="P214" s="26" t="n">
        <x:v>5</x:v>
      </x:c>
      <x:c r="Q214" s="26" t="n">
        <x:v>228</x:v>
      </x:c>
      <x:c r="R214" s="26" t="n">
        <x:v>297</x:v>
      </x:c>
      <x:c r="S214" s="26" t="n">
        <x:v>0.00277777777777776</x:v>
      </x:c>
      <x:c r="T214" s="26" t="n">
        <x:v>-0.002666666666666648</x:v>
      </x:c>
      <x:c r="U214" s="26" t="n">
        <x:v>0.008222222222222169</x:v>
      </x:c>
      <x:c r="V214" s="26" t="n">
        <x:v>0.158655253931457</x:v>
      </x:c>
      <x:c r="W214" s="26" t="n">
        <x:v>0.005555554</x:v>
      </x:c>
      <x:c r="X214" s="26" t="n">
        <x:v>-0.005333331840000001</x:v>
      </x:c>
      <x:c r="Y214" s="26" t="n">
        <x:v>0.016444439840000002</x:v>
      </x:c>
      <x:c r="Z214" s="26" t="n">
        <x:v>0.15865525393145713</x:v>
      </x:c>
      <x:c r="AA214" s="26" t="n">
        <x:v>0.2</x:v>
      </x:c>
      <x:c r="AB214" s="26" t="n">
        <x:v>0.2</x:v>
      </x:c>
      <x:c r="AC214" s="39" t="b">
        <x:v>1</x:v>
      </x:c>
      <x:c r="AD214" s="39" t="b">
        <x:v>1</x:v>
      </x:c>
      <x:c r="AE214" s="39" t="b">
        <x:v>0</x:v>
      </x:c>
      <x:c r="AF214" s="26" t="n">
        <x:v>0.00277777777777776</x:v>
      </x:c>
      <x:c r="AG214" s="26" t="n">
        <x:v>0.005555554</x:v>
      </x:c>
      <x:c r="AH214" s="26" t="n">
        <x:v>297</x:v>
      </x:c>
      <x:c r="AI214" s="26"/>
      <x:c r="AJ214" s="26" t="str">
        <x:v>추가 실험 필요</x:v>
      </x:c>
      <x:c r="AK214" s="27" t="str">
        <x:v>평균 효과 방향은 모두 양수이나 표본 또는 신뢰구간 기준을 통과하지 못함</x:v>
      </x:c>
    </x:row>
    <x:row r="215">
      <x:c r="A215" s="25" t="str">
        <x:v>GROCERY</x:v>
      </x:c>
      <x:c r="B215" s="26" t="str">
        <x:v>BAKED BREAD/BUNS/ROLLS</x:v>
      </x:c>
      <x:c r="C215" s="26" t="n">
        <x:v>395</x:v>
      </x:c>
      <x:c r="D215" s="26" t="n">
        <x:v>10681</x:v>
      </x:c>
      <x:c r="E215" s="26" t="n">
        <x:v>70114</x:v>
      </x:c>
      <x:c r="F215" s="26" t="n">
        <x:v>0.006872729929146588</x:v>
      </x:c>
      <x:c r="G215" s="26" t="n">
        <x:v>0.00043746145675020286</x:v>
      </x:c>
      <x:c r="H215" s="26" t="n">
        <x:v>0.013307998401542974</x:v>
      </x:c>
      <x:c r="I215" s="26" t="n">
        <x:v>0.018163942134267856</x:v>
      </x:c>
      <x:c r="J215" s="26" t="n">
        <x:v>0.005400502507341772</x:v>
      </x:c>
      <x:c r="K215" s="26" t="n">
        <x:v>-0.007197259324625415</x:v>
      </x:c>
      <x:c r="L215" s="26" t="n">
        <x:v>0.01799826433930896</x:v>
      </x:c>
      <x:c r="M215" s="26" t="n">
        <x:v>0.20039044372681708</x:v>
      </x:c>
      <x:c r="N215" s="26" t="n">
        <x:v>0.14936708860759493</x:v>
      </x:c>
      <x:c r="O215" s="26" t="n">
        <x:v>0.1518987341772152</x:v>
      </x:c>
      <x:c r="P215" s="26" t="n">
        <x:v>219</x:v>
      </x:c>
      <x:c r="Q215" s="26" t="n">
        <x:v>9470</x:v>
      </x:c>
      <x:c r="R215" s="26" t="n">
        <x:v>35675</x:v>
      </x:c>
      <x:c r="S215" s="26" t="n">
        <x:v>0.005692840128530299</x:v>
      </x:c>
      <x:c r="T215" s="26" t="n">
        <x:v>-0.0004738177563053704</x:v>
      </x:c>
      <x:c r="U215" s="26" t="n">
        <x:v>0.011859498013365968</x:v>
      </x:c>
      <x:c r="V215" s="26" t="n">
        <x:v>0.0351942417618453</x:v>
      </x:c>
      <x:c r="W215" s="26" t="n">
        <x:v>0.012768137310045662</x:v>
      </x:c>
      <x:c r="X215" s="26" t="n">
        <x:v>0.0001521084207743422</x:v>
      </x:c>
      <x:c r="Y215" s="26" t="n">
        <x:v>0.02538416619931698</x:v>
      </x:c>
      <x:c r="Z215" s="26" t="n">
        <x:v>0.023648481543804577</x:v>
      </x:c>
      <x:c r="AA215" s="26" t="n">
        <x:v>0.1689497716894977</x:v>
      </x:c>
      <x:c r="AB215" s="26" t="n">
        <x:v>0.182648401826484</x:v>
      </x:c>
      <x:c r="AC215" s="39" t="b">
        <x:v>1</x:v>
      </x:c>
      <x:c r="AD215" s="39" t="b">
        <x:v>1</x:v>
      </x:c>
      <x:c r="AE215" s="39" t="b">
        <x:v>0</x:v>
      </x:c>
      <x:c r="AF215" s="26" t="n">
        <x:v>0.005692840128530299</x:v>
      </x:c>
      <x:c r="AG215" s="26" t="n">
        <x:v>0.005400502507341772</x:v>
      </x:c>
      <x:c r="AH215" s="26" t="n">
        <x:v>35675</x:v>
      </x:c>
      <x:c r="AI215" s="26"/>
      <x:c r="AJ215" s="26" t="str">
        <x:v>추가 실험 필요</x:v>
      </x:c>
      <x:c r="AK215" s="27" t="str">
        <x:v>평균 효과 방향은 모두 양수이나 표본 또는 신뢰구간 기준을 통과하지 못함</x:v>
      </x:c>
    </x:row>
    <x:row r="216">
      <x:c r="A216" s="25" t="str">
        <x:v>GROCERY</x:v>
      </x:c>
      <x:c r="B216" s="26" t="str">
        <x:v>ISOTONIC DRINKS</x:v>
      </x:c>
      <x:c r="C216" s="26" t="n">
        <x:v>149</x:v>
      </x:c>
      <x:c r="D216" s="26" t="n">
        <x:v>7150</x:v>
      </x:c>
      <x:c r="E216" s="26" t="n">
        <x:v>31755</x:v>
      </x:c>
      <x:c r="F216" s="26" t="n">
        <x:v>0.003631381473038343</x:v>
      </x:c>
      <x:c r="G216" s="26" t="n">
        <x:v>-0.0004497235045258564</x:v>
      </x:c>
      <x:c r="H216" s="26" t="n">
        <x:v>0.007712486450602542</x:v>
      </x:c>
      <x:c r="I216" s="26" t="n">
        <x:v>0.04057825017706638</x:v>
      </x:c>
      <x:c r="J216" s="26" t="n">
        <x:v>0.005153217010268456</x:v>
      </x:c>
      <x:c r="K216" s="26" t="n">
        <x:v>-0.0034981932139305956</x:v>
      </x:c>
      <x:c r="L216" s="26" t="n">
        <x:v>0.013804627234467508</x:v>
      </x:c>
      <x:c r="M216" s="26" t="n">
        <x:v>0.1215092948891696</x:v>
      </x:c>
      <x:c r="N216" s="26" t="n">
        <x:v>0.15436241610738255</x:v>
      </x:c>
      <x:c r="O216" s="26" t="n">
        <x:v>0.1342281879194631</x:v>
      </x:c>
      <x:c r="P216" s="26" t="n">
        <x:v>130</x:v>
      </x:c>
      <x:c r="Q216" s="26" t="n">
        <x:v>6741</x:v>
      </x:c>
      <x:c r="R216" s="26" t="n">
        <x:v>16885</x:v>
      </x:c>
      <x:c r="S216" s="26" t="n">
        <x:v>0.005094236322740129</x:v>
      </x:c>
      <x:c r="T216" s="26" t="n">
        <x:v>0.00009532598284933431</x:v>
      </x:c>
      <x:c r="U216" s="26" t="n">
        <x:v>0.010093146662630923</x:v>
      </x:c>
      <x:c r="V216" s="26" t="n">
        <x:v>0.02289218024220265</x:v>
      </x:c>
      <x:c r="W216" s="26" t="n">
        <x:v>0.01811995056846154</x:v>
      </x:c>
      <x:c r="X216" s="26" t="n">
        <x:v>0.007734257296907153</x:v>
      </x:c>
      <x:c r="Y216" s="26" t="n">
        <x:v>0.02850564384001593</x:v>
      </x:c>
      <x:c r="Z216" s="26" t="n">
        <x:v>0.0003135457014662865</x:v>
      </x:c>
      <x:c r="AA216" s="26" t="n">
        <x:v>0.23076923076923078</x:v>
      </x:c>
      <x:c r="AB216" s="26" t="n">
        <x:v>0.25384615384615383</x:v>
      </x:c>
      <x:c r="AC216" s="39" t="b">
        <x:v>1</x:v>
      </x:c>
      <x:c r="AD216" s="39" t="b">
        <x:v>1</x:v>
      </x:c>
      <x:c r="AE216" s="39" t="b">
        <x:v>0</x:v>
      </x:c>
      <x:c r="AF216" s="26" t="n">
        <x:v>0.003631381473038343</x:v>
      </x:c>
      <x:c r="AG216" s="26" t="n">
        <x:v>0.005153217010268456</x:v>
      </x:c>
      <x:c r="AH216" s="26" t="n">
        <x:v>16885</x:v>
      </x:c>
      <x:c r="AI216" s="26"/>
      <x:c r="AJ216" s="26" t="str">
        <x:v>추가 실험 필요</x:v>
      </x:c>
      <x:c r="AK216" s="27" t="str">
        <x:v>평균 효과 방향은 모두 양수이나 표본 또는 신뢰구간 기준을 통과하지 못함</x:v>
      </x:c>
    </x:row>
    <x:row r="217">
      <x:c r="A217" s="25" t="str">
        <x:v>DRUG GM</x:v>
      </x:c>
      <x:c r="B217" s="26" t="str">
        <x:v>STATIONERY &amp; SCHOOL SUPPLIES</x:v>
      </x:c>
      <x:c r="C217" s="26" t="n">
        <x:v>127</x:v>
      </x:c>
      <x:c r="D217" s="26" t="n">
        <x:v>1545</x:v>
      </x:c>
      <x:c r="E217" s="26" t="n">
        <x:v>2046</x:v>
      </x:c>
      <x:c r="F217" s="26" t="n">
        <x:v>0.0013498537338076566</x:v>
      </x:c>
      <x:c r="G217" s="26" t="n">
        <x:v>-0.0016595115745113192</x:v>
      </x:c>
      <x:c r="H217" s="26" t="n">
        <x:v>0.004359219042126632</x:v>
      </x:c>
      <x:c r="I217" s="26" t="n">
        <x:v>0.1896572903794177</x:v>
      </x:c>
      <x:c r="J217" s="26" t="n">
        <x:v>0.004994578729133859</x:v>
      </x:c>
      <x:c r="K217" s="26" t="n">
        <x:v>-0.0015694359757822988</x:v>
      </x:c>
      <x:c r="L217" s="26" t="n">
        <x:v>0.011558593434050017</x:v>
      </x:c>
      <x:c r="M217" s="26" t="n">
        <x:v>0.06793219600378432</x:v>
      </x:c>
      <x:c r="N217" s="26" t="n">
        <x:v>0.10236220472440945</x:v>
      </x:c>
      <x:c r="O217" s="26" t="n">
        <x:v>0.11811023622047244</x:v>
      </x:c>
      <x:c r="P217" s="26" t="n">
        <x:v>30</x:v>
      </x:c>
      <x:c r="Q217" s="26" t="n">
        <x:v>472</x:v>
      </x:c>
      <x:c r="R217" s="26" t="n">
        <x:v>651</x:v>
      </x:c>
      <x:c r="S217" s="26" t="n">
        <x:v>0.0022029371594588934</x:v>
      </x:c>
      <x:c r="T217" s="26" t="n">
        <x:v>-0.006398734913769089</x:v>
      </x:c>
      <x:c r="U217" s="26" t="n">
        <x:v>0.010804609232686876</x:v>
      </x:c>
      <x:c r="V217" s="26" t="n">
        <x:v>0.30784531366497725</x:v>
      </x:c>
      <x:c r="W217" s="26" t="n">
        <x:v>0.009836036433333334</x:v>
      </x:c>
      <x:c r="X217" s="26" t="n">
        <x:v>-0.004165620648329068</x:v>
      </x:c>
      <x:c r="Y217" s="26" t="n">
        <x:v>0.023837693514995734</x:v>
      </x:c>
      <x:c r="Z217" s="26" t="n">
        <x:v>0.08427434666636896</x:v>
      </x:c>
      <x:c r="AA217" s="26" t="n">
        <x:v>0.2</x:v>
      </x:c>
      <x:c r="AB217" s="26" t="n">
        <x:v>0.16666666666666666</x:v>
      </x:c>
      <x:c r="AC217" s="39" t="b">
        <x:v>1</x:v>
      </x:c>
      <x:c r="AD217" s="39" t="b">
        <x:v>1</x:v>
      </x:c>
      <x:c r="AE217" s="39" t="b">
        <x:v>0</x:v>
      </x:c>
      <x:c r="AF217" s="26" t="n">
        <x:v>0.0013498537338076566</x:v>
      </x:c>
      <x:c r="AG217" s="26" t="n">
        <x:v>0.004994578729133859</x:v>
      </x:c>
      <x:c r="AH217" s="26" t="n">
        <x:v>651</x:v>
      </x:c>
      <x:c r="AI217" s="26"/>
      <x:c r="AJ217" s="26" t="str">
        <x:v>추가 실험 필요</x:v>
      </x:c>
      <x:c r="AK217" s="27" t="str">
        <x:v>평균 효과 방향은 모두 양수이나 표본 또는 신뢰구간 기준을 통과하지 못함</x:v>
      </x:c>
    </x:row>
    <x:row r="218">
      <x:c r="A218" s="25" t="str">
        <x:v>DRUG GM</x:v>
      </x:c>
      <x:c r="B218" s="26" t="str">
        <x:v>COLD AND FLU</x:v>
      </x:c>
      <x:c r="C218" s="26" t="n">
        <x:v>204</x:v>
      </x:c>
      <x:c r="D218" s="26" t="n">
        <x:v>5383</x:v>
      </x:c>
      <x:c r="E218" s="26" t="n">
        <x:v>8999</x:v>
      </x:c>
      <x:c r="F218" s="26" t="n">
        <x:v>0.0009998188301079465</x:v>
      </x:c>
      <x:c r="G218" s="26" t="n">
        <x:v>-0.00031990705416932975</x:v>
      </x:c>
      <x:c r="H218" s="26" t="n">
        <x:v>0.0023195447143852226</x:v>
      </x:c>
      <x:c r="I218" s="26" t="n">
        <x:v>0.06878676994068522</x:v>
      </x:c>
      <x:c r="J218" s="26" t="n">
        <x:v>0.004452934597058823</x:v>
      </x:c>
      <x:c r="K218" s="26" t="n">
        <x:v>-0.0018096684429537869</x:v>
      </x:c>
      <x:c r="L218" s="26" t="n">
        <x:v>0.010715537637071433</x:v>
      </x:c>
      <x:c r="M218" s="26" t="n">
        <x:v>0.0817146741055817</x:v>
      </x:c>
      <x:c r="N218" s="26" t="n">
        <x:v>0.11274509803921569</x:v>
      </x:c>
      <x:c r="O218" s="26" t="n">
        <x:v>0.11274509803921569</x:v>
      </x:c>
      <x:c r="P218" s="26" t="n">
        <x:v>81</x:v>
      </x:c>
      <x:c r="Q218" s="26" t="n">
        <x:v>1451</x:v>
      </x:c>
      <x:c r="R218" s="26" t="n">
        <x:v>1539</x:v>
      </x:c>
      <x:c r="S218" s="26" t="n">
        <x:v>0.005546531581040546</x:v>
      </x:c>
      <x:c r="T218" s="26" t="n">
        <x:v>-0.004080190370753059</x:v>
      </x:c>
      <x:c r="U218" s="26" t="n">
        <x:v>0.015173253532834151</x:v>
      </x:c>
      <x:c r="V218" s="26" t="n">
        <x:v>0.12939124016642048</x:v>
      </x:c>
      <x:c r="W218" s="26" t="n">
        <x:v>0.006500601320987656</x:v>
      </x:c>
      <x:c r="X218" s="26" t="n">
        <x:v>-0.026548821697665398</x:v>
      </x:c>
      <x:c r="Y218" s="26" t="n">
        <x:v>0.03955002433964071</x:v>
      </x:c>
      <x:c r="Z218" s="26" t="n">
        <x:v>0.3499264877250481</x:v>
      </x:c>
      <x:c r="AA218" s="26" t="n">
        <x:v>0.08641975308641975</x:v>
      </x:c>
      <x:c r="AB218" s="26" t="n">
        <x:v>0.08641975308641975</x:v>
      </x:c>
      <x:c r="AC218" s="39" t="b">
        <x:v>1</x:v>
      </x:c>
      <x:c r="AD218" s="39" t="b">
        <x:v>1</x:v>
      </x:c>
      <x:c r="AE218" s="39" t="b">
        <x:v>0</x:v>
      </x:c>
      <x:c r="AF218" s="26" t="n">
        <x:v>0.0009998188301079465</x:v>
      </x:c>
      <x:c r="AG218" s="26" t="n">
        <x:v>0.004452934597058823</x:v>
      </x:c>
      <x:c r="AH218" s="26" t="n">
        <x:v>1539</x:v>
      </x:c>
      <x:c r="AI218" s="26"/>
      <x:c r="AJ218" s="26" t="str">
        <x:v>추가 실험 필요</x:v>
      </x:c>
      <x:c r="AK218" s="27" t="str">
        <x:v>평균 효과 방향은 모두 양수이나 표본 또는 신뢰구간 기준을 통과하지 못함</x:v>
      </x:c>
    </x:row>
    <x:row r="219">
      <x:c r="A219" s="25" t="str">
        <x:v>GROCERY</x:v>
      </x:c>
      <x:c r="B219" s="26" t="str">
        <x:v>SEAFOOD - SHELF STABLE</x:v>
      </x:c>
      <x:c r="C219" s="26" t="n">
        <x:v>60</x:v>
      </x:c>
      <x:c r="D219" s="26" t="n">
        <x:v>1910</x:v>
      </x:c>
      <x:c r="E219" s="26" t="n">
        <x:v>4111</x:v>
      </x:c>
      <x:c r="F219" s="26" t="n">
        <x:v>-0.004172332228308275</x:v>
      </x:c>
      <x:c r="G219" s="26" t="n">
        <x:v>-0.025289730536061934</x:v>
      </x:c>
      <x:c r="H219" s="26" t="n">
        <x:v>0.016945066079445383</x:v>
      </x:c>
      <x:c r="I219" s="26" t="n">
        <x:v>0.650715459612724</x:v>
      </x:c>
      <x:c r="J219" s="26" t="n">
        <x:v>0.004257354</x:v>
      </x:c>
      <x:c r="K219" s="26" t="n">
        <x:v>-0.04975168679135335</x:v>
      </x:c>
      <x:c r="L219" s="26" t="n">
        <x:v>0.05826639479135334</x:v>
      </x:c>
      <x:c r="M219" s="26" t="n">
        <x:v>0.43860763125194435</x:v>
      </x:c>
      <x:c r="N219" s="26" t="n">
        <x:v>0.16666666666666666</x:v>
      </x:c>
      <x:c r="O219" s="26" t="n">
        <x:v>0.18333333333333332</x:v>
      </x:c>
      <x:c r="P219" s="26" t="n">
        <x:v>18</x:v>
      </x:c>
      <x:c r="Q219" s="26" t="n">
        <x:v>404</x:v>
      </x:c>
      <x:c r="R219" s="26" t="n">
        <x:v>423</x:v>
      </x:c>
      <x:c r="S219" s="26" t="n">
        <x:v>0.007596858375991161</x:v>
      </x:c>
      <x:c r="T219" s="26" t="n">
        <x:v>-0.013304512144048736</x:v>
      </x:c>
      <x:c r="U219" s="26" t="n">
        <x:v>0.028498228896031055</x:v>
      </x:c>
      <x:c r="V219" s="26" t="n">
        <x:v>0.2381129108167964</x:v>
      </x:c>
      <x:c r="W219" s="26" t="n">
        <x:v>0.015351048333333332</x:v>
      </x:c>
      <x:c r="X219" s="26" t="n">
        <x:v>-0.04361643887287219</x:v>
      </x:c>
      <x:c r="Y219" s="26" t="n">
        <x:v>0.07431853553953885</x:v>
      </x:c>
      <x:c r="Z219" s="26" t="n">
        <x:v>0.30493879082136827</x:v>
      </x:c>
      <x:c r="AA219" s="26" t="n">
        <x:v>0.16666666666666666</x:v>
      </x:c>
      <x:c r="AB219" s="26" t="n">
        <x:v>0.1111111111111111</x:v>
      </x:c>
      <x:c r="AC219" s="39" t="b">
        <x:v>1</x:v>
      </x:c>
      <x:c r="AD219" s="39" t="b">
        <x:v>1</x:v>
      </x:c>
      <x:c r="AE219" s="39" t="b">
        <x:v>0</x:v>
      </x:c>
      <x:c r="AF219" s="26" t="n">
        <x:v>-0.004172332228308275</x:v>
      </x:c>
      <x:c r="AG219" s="26" t="n">
        <x:v>0.004257354</x:v>
      </x:c>
      <x:c r="AH219" s="26" t="n">
        <x:v>423</x:v>
      </x:c>
      <x:c r="AI219" s="26"/>
      <x:c r="AJ219" s="26" t="str">
        <x:v>추가 실험 필요</x:v>
      </x:c>
      <x:c r="AK219" s="27" t="str">
        <x:v>평균 효과 방향은 모두 양수이나 표본 또는 신뢰구간 기준을 통과하지 못함</x:v>
      </x:c>
    </x:row>
    <x:row r="220">
      <x:c r="A220" s="25" t="str">
        <x:v>GROCERY</x:v>
      </x:c>
      <x:c r="B220" s="26" t="str">
        <x:v>HISPANIC</x:v>
      </x:c>
      <x:c r="C220" s="26" t="n">
        <x:v>104</x:v>
      </x:c>
      <x:c r="D220" s="26" t="n">
        <x:v>825</x:v>
      </x:c>
      <x:c r="E220" s="26" t="n">
        <x:v>1078</x:v>
      </x:c>
      <x:c r="F220" s="26" t="n">
        <x:v>0.005436664030414027</x:v>
      </x:c>
      <x:c r="G220" s="26" t="n">
        <x:v>-0.01987949827407777</x:v>
      </x:c>
      <x:c r="H220" s="26" t="n">
        <x:v>0.030752826334905822</x:v>
      </x:c>
      <x:c r="I220" s="26" t="n">
        <x:v>0.33690988758525264</x:v>
      </x:c>
      <x:c r="J220" s="26" t="n">
        <x:v>0.004215940178269228</x:v>
      </x:c>
      <x:c r="K220" s="26" t="n">
        <x:v>-0.04799399015695196</x:v>
      </x:c>
      <x:c r="L220" s="26" t="n">
        <x:v>0.05642587051349041</x:v>
      </x:c>
      <x:c r="M220" s="26" t="n">
        <x:v>0.4371221963379612</x:v>
      </x:c>
      <x:c r="N220" s="26" t="n">
        <x:v>0.08653846153846154</x:v>
      </x:c>
      <x:c r="O220" s="26" t="n">
        <x:v>0.09615384615384616</x:v>
      </x:c>
      <x:c r="P220" s="26" t="n">
        <x:v>24</x:v>
      </x:c>
      <x:c r="Q220" s="26" t="n">
        <x:v>313</x:v>
      </x:c>
      <x:c r="R220" s="26" t="n">
        <x:v>313</x:v>
      </x:c>
      <x:c r="S220" s="26" t="n">
        <x:v>0.030634920634920636</x:v>
      </x:c>
      <x:c r="T220" s="26" t="n">
        <x:v>-0.010921723025431356</x:v>
      </x:c>
      <x:c r="U220" s="26" t="n">
        <x:v>0.07219156429527263</x:v>
      </x:c>
      <x:c r="V220" s="26" t="n">
        <x:v>0.07424552317541196</x:v>
      </x:c>
      <x:c r="W220" s="26" t="n">
        <x:v>0.08154761666666667</x:v>
      </x:c>
      <x:c r="X220" s="26" t="n">
        <x:v>-0.05462538323665457</x:v>
      </x:c>
      <x:c r="Y220" s="26" t="n">
        <x:v>0.21772061656998792</x:v>
      </x:c>
      <x:c r="Z220" s="26" t="n">
        <x:v>0.12024719102094783</x:v>
      </x:c>
      <x:c r="AA220" s="26" t="n">
        <x:v>0.16666666666666666</x:v>
      </x:c>
      <x:c r="AB220" s="26" t="n">
        <x:v>0.125</x:v>
      </x:c>
      <x:c r="AC220" s="39" t="b">
        <x:v>1</x:v>
      </x:c>
      <x:c r="AD220" s="39" t="b">
        <x:v>1</x:v>
      </x:c>
      <x:c r="AE220" s="39" t="b">
        <x:v>0</x:v>
      </x:c>
      <x:c r="AF220" s="26" t="n">
        <x:v>0.005436664030414027</x:v>
      </x:c>
      <x:c r="AG220" s="26" t="n">
        <x:v>0.004215940178269228</x:v>
      </x:c>
      <x:c r="AH220" s="26" t="n">
        <x:v>313</x:v>
      </x:c>
      <x:c r="AI220" s="26"/>
      <x:c r="AJ220" s="26" t="str">
        <x:v>추가 실험 필요</x:v>
      </x:c>
      <x:c r="AK220" s="27" t="str">
        <x:v>평균 효과 방향은 모두 양수이나 표본 또는 신뢰구간 기준을 통과하지 못함</x:v>
      </x:c>
    </x:row>
    <x:row r="221">
      <x:c r="A221" s="25" t="str">
        <x:v>GROCERY</x:v>
      </x:c>
      <x:c r="B221" s="26" t="str">
        <x:v>LAUNDRY DETERGENTS</x:v>
      </x:c>
      <x:c r="C221" s="26" t="n">
        <x:v>196</x:v>
      </x:c>
      <x:c r="D221" s="26" t="n">
        <x:v>7432</x:v>
      </x:c>
      <x:c r="E221" s="26" t="n">
        <x:v>15251</x:v>
      </x:c>
      <x:c r="F221" s="26" t="n">
        <x:v>0.002383926539192799</x:v>
      </x:c>
      <x:c r="G221" s="26" t="n">
        <x:v>-0.0020874536756950025</x:v>
      </x:c>
      <x:c r="H221" s="26" t="n">
        <x:v>0.0068553067540806</x:v>
      </x:c>
      <x:c r="I221" s="26" t="n">
        <x:v>0.1480164621818158</x:v>
      </x:c>
      <x:c r="J221" s="26" t="n">
        <x:v>0.023357356857142856</x:v>
      </x:c>
      <x:c r="K221" s="26" t="n">
        <x:v>-0.005190997937858353</x:v>
      </x:c>
      <x:c r="L221" s="26" t="n">
        <x:v>0.05190571165214407</x:v>
      </x:c>
      <x:c r="M221" s="26" t="n">
        <x:v>0.054400052657530854</x:v>
      </x:c>
      <x:c r="N221" s="26" t="n">
        <x:v>0.20408163265306123</x:v>
      </x:c>
      <x:c r="O221" s="26" t="n">
        <x:v>0.1989795918367347</x:v>
      </x:c>
      <x:c r="P221" s="26" t="n">
        <x:v>183</x:v>
      </x:c>
      <x:c r="Q221" s="26" t="n">
        <x:v>9557</x:v>
      </x:c>
      <x:c r="R221" s="26" t="n">
        <x:v>18878</x:v>
      </x:c>
      <x:c r="S221" s="26" t="n">
        <x:v>0.0010222302891004502</x:v>
      </x:c>
      <x:c r="T221" s="26" t="n">
        <x:v>-0.0028018091745751032</x:v>
      </x:c>
      <x:c r="U221" s="26" t="n">
        <x:v>0.004846269752776003</x:v>
      </x:c>
      <x:c r="V221" s="26" t="n">
        <x:v>0.30015976059129545</x:v>
      </x:c>
      <x:c r="W221" s="26" t="n">
        <x:v>0.004145533226775954</x:v>
      </x:c>
      <x:c r="X221" s="26" t="n">
        <x:v>-0.024175985154205847</x:v>
      </x:c>
      <x:c r="Y221" s="26" t="n">
        <x:v>0.03246705160775776</x:v>
      </x:c>
      <x:c r="Z221" s="26" t="n">
        <x:v>0.38709712860225254</x:v>
      </x:c>
      <x:c r="AA221" s="26" t="n">
        <x:v>0.16393442622950818</x:v>
      </x:c>
      <x:c r="AB221" s="26" t="n">
        <x:v>0.16393442622950818</x:v>
      </x:c>
      <x:c r="AC221" s="39" t="b">
        <x:v>1</x:v>
      </x:c>
      <x:c r="AD221" s="39" t="b">
        <x:v>1</x:v>
      </x:c>
      <x:c r="AE221" s="39" t="b">
        <x:v>0</x:v>
      </x:c>
      <x:c r="AF221" s="26" t="n">
        <x:v>0.0010222302891004502</x:v>
      </x:c>
      <x:c r="AG221" s="26" t="n">
        <x:v>0.004145533226775954</x:v>
      </x:c>
      <x:c r="AH221" s="26" t="n">
        <x:v>15251</x:v>
      </x:c>
      <x:c r="AI221" s="26"/>
      <x:c r="AJ221" s="26" t="str">
        <x:v>추가 실험 필요</x:v>
      </x:c>
      <x:c r="AK221" s="27" t="str">
        <x:v>평균 효과 방향은 모두 양수이나 표본 또는 신뢰구간 기준을 통과하지 못함</x:v>
      </x:c>
    </x:row>
    <x:row r="222">
      <x:c r="A222" s="25" t="str">
        <x:v>MEAT-PCKGD</x:v>
      </x:c>
      <x:c r="B222" s="26" t="str">
        <x:v>MISCELLANEOUS</x:v>
      </x:c>
      <x:c r="C222" s="26" t="n">
        <x:v>25</x:v>
      </x:c>
      <x:c r="D222" s="26" t="n">
        <x:v>515</x:v>
      </x:c>
      <x:c r="E222" s="26" t="n">
        <x:v>1945</x:v>
      </x:c>
      <x:c r="F222" s="26" t="n">
        <x:v>0.002220913107511044</x:v>
      </x:c>
      <x:c r="G222" s="26" t="n">
        <x:v>-0.0021320765832106023</x:v>
      </x:c>
      <x:c r="H222" s="26" t="n">
        <x:v>0.00657390279823269</x:v>
      </x:c>
      <x:c r="I222" s="26" t="n">
        <x:v>0.15865525393145705</x:v>
      </x:c>
      <x:c r="J222" s="26" t="n">
        <x:v>0.003518036</x:v>
      </x:c>
      <x:c r="K222" s="26" t="n">
        <x:v>-0.0033773145599999992</x:v>
      </x:c>
      <x:c r="L222" s="26" t="n">
        <x:v>0.01041338656</x:v>
      </x:c>
      <x:c r="M222" s="26" t="n">
        <x:v>0.158655253931457</x:v>
      </x:c>
      <x:c r="N222" s="26" t="n">
        <x:v>0.04</x:v>
      </x:c>
      <x:c r="O222" s="26" t="n">
        <x:v>0.04</x:v>
      </x:c>
      <x:c r="P222" s="26" t="n">
        <x:v>5</x:v>
      </x:c>
      <x:c r="Q222" s="26" t="n">
        <x:v>285</x:v>
      </x:c>
      <x:c r="R222" s="26" t="n">
        <x:v>340</x:v>
      </x:c>
      <x:c r="S222" s="26" t="n">
        <x:v>0.019298245614035082</x:v>
      </x:c>
      <x:c r="T222" s="26" t="n">
        <x:v>-0.01852631578947368</x:v>
      </x:c>
      <x:c r="U222" s="26" t="n">
        <x:v>0.05712280701754384</x:v>
      </x:c>
      <x:c r="V222" s="26" t="n">
        <x:v>0.15865525393145705</x:v>
      </x:c>
      <x:c r="W222" s="26" t="n">
        <x:v>0.0237894728</x:v>
      </x:c>
      <x:c r="X222" s="26" t="n">
        <x:v>-0.022837893887999994</x:v>
      </x:c>
      <x:c r="Y222" s="26" t="n">
        <x:v>0.070416839488</x:v>
      </x:c>
      <x:c r="Z222" s="26" t="n">
        <x:v>0.158655253931457</x:v>
      </x:c>
      <x:c r="AA222" s="26" t="n">
        <x:v>0.2</x:v>
      </x:c>
      <x:c r="AB222" s="26" t="n">
        <x:v>0.2</x:v>
      </x:c>
      <x:c r="AC222" s="39" t="b">
        <x:v>1</x:v>
      </x:c>
      <x:c r="AD222" s="39" t="b">
        <x:v>1</x:v>
      </x:c>
      <x:c r="AE222" s="39" t="b">
        <x:v>0</x:v>
      </x:c>
      <x:c r="AF222" s="26" t="n">
        <x:v>0.002220913107511044</x:v>
      </x:c>
      <x:c r="AG222" s="26" t="n">
        <x:v>0.003518036</x:v>
      </x:c>
      <x:c r="AH222" s="26" t="n">
        <x:v>340</x:v>
      </x:c>
      <x:c r="AI222" s="26"/>
      <x:c r="AJ222" s="26" t="str">
        <x:v>추가 실험 필요</x:v>
      </x:c>
      <x:c r="AK222" s="27" t="str">
        <x:v>평균 효과 방향은 모두 양수이나 표본 또는 신뢰구간 기준을 통과하지 못함</x:v>
      </x:c>
    </x:row>
    <x:row r="223">
      <x:c r="A223" s="25" t="str">
        <x:v>GROCERY</x:v>
      </x:c>
      <x:c r="B223" s="26" t="str">
        <x:v>MARGARINES</x:v>
      </x:c>
      <x:c r="C223" s="26" t="n">
        <x:v>117</x:v>
      </x:c>
      <x:c r="D223" s="26" t="n">
        <x:v>1915</x:v>
      </x:c>
      <x:c r="E223" s="26" t="n">
        <x:v>4368</x:v>
      </x:c>
      <x:c r="F223" s="26" t="n">
        <x:v>0.0035157226437035993</x:v>
      </x:c>
      <x:c r="G223" s="26" t="n">
        <x:v>-0.009334095482865332</x:v>
      </x:c>
      <x:c r="H223" s="26" t="n">
        <x:v>0.01636554077027253</x:v>
      </x:c>
      <x:c r="I223" s="26" t="n">
        <x:v>0.2958901639919178</x:v>
      </x:c>
      <x:c r="J223" s="26" t="n">
        <x:v>0.0035090249999999994</x:v>
      </x:c>
      <x:c r="K223" s="26" t="n">
        <x:v>-0.01593918262800664</x:v>
      </x:c>
      <x:c r="L223" s="26" t="n">
        <x:v>0.022957232628006637</x:v>
      </x:c>
      <x:c r="M223" s="26" t="n">
        <x:v>0.3618038677318126</x:v>
      </x:c>
      <x:c r="N223" s="26" t="n">
        <x:v>0.1111111111111111</x:v>
      </x:c>
      <x:c r="O223" s="26" t="n">
        <x:v>0.11965811965811966</x:v>
      </x:c>
      <x:c r="P223" s="26" t="n">
        <x:v>52</x:v>
      </x:c>
      <x:c r="Q223" s="26" t="n">
        <x:v>915</x:v>
      </x:c>
      <x:c r="R223" s="26" t="n">
        <x:v>1229</x:v>
      </x:c>
      <x:c r="S223" s="26" t="n">
        <x:v>0.015430851827910649</x:v>
      </x:c>
      <x:c r="T223" s="26" t="n">
        <x:v>-0.0032595175351817773</x:v>
      </x:c>
      <x:c r="U223" s="26" t="n">
        <x:v>0.034121221191003075</x:v>
      </x:c>
      <x:c r="V223" s="26" t="n">
        <x:v>0.05281140047572767</x:v>
      </x:c>
      <x:c r="W223" s="26" t="n">
        <x:v>0.015386725807692304</x:v>
      </x:c>
      <x:c r="X223" s="26" t="n">
        <x:v>-0.004423092630847525</x:v>
      </x:c>
      <x:c r="Y223" s="26" t="n">
        <x:v>0.035196544246232135</x:v>
      </x:c>
      <x:c r="Z223" s="26" t="n">
        <x:v>0.06395750793811468</x:v>
      </x:c>
      <x:c r="AA223" s="26" t="n">
        <x:v>0.19230769230769232</x:v>
      </x:c>
      <x:c r="AB223" s="26" t="n">
        <x:v>0.17307692307692307</x:v>
      </x:c>
      <x:c r="AC223" s="39" t="b">
        <x:v>1</x:v>
      </x:c>
      <x:c r="AD223" s="39" t="b">
        <x:v>1</x:v>
      </x:c>
      <x:c r="AE223" s="39" t="b">
        <x:v>0</x:v>
      </x:c>
      <x:c r="AF223" s="26" t="n">
        <x:v>0.0035157226437035993</x:v>
      </x:c>
      <x:c r="AG223" s="26" t="n">
        <x:v>0.0035090249999999994</x:v>
      </x:c>
      <x:c r="AH223" s="26" t="n">
        <x:v>1229</x:v>
      </x:c>
      <x:c r="AI223" s="26"/>
      <x:c r="AJ223" s="26" t="str">
        <x:v>추가 실험 필요</x:v>
      </x:c>
      <x:c r="AK223" s="27" t="str">
        <x:v>평균 효과 방향은 모두 양수이나 표본 또는 신뢰구간 기준을 통과하지 못함</x:v>
      </x:c>
    </x:row>
    <x:row r="224">
      <x:c r="A224" s="25" t="str">
        <x:v>DRUG GM</x:v>
      </x:c>
      <x:c r="B224" s="26" t="str">
        <x:v>HAND/BODY/FACIAL PRODUCTS</x:v>
      </x:c>
      <x:c r="C224" s="26" t="n">
        <x:v>159</x:v>
      </x:c>
      <x:c r="D224" s="26" t="n">
        <x:v>1591</x:v>
      </x:c>
      <x:c r="E224" s="26" t="n">
        <x:v>1845</x:v>
      </x:c>
      <x:c r="F224" s="26" t="n">
        <x:v>0.001101405878272317</x:v>
      </x:c>
      <x:c r="G224" s="26" t="n">
        <x:v>-0.0013982790235838559</x:v>
      </x:c>
      <x:c r="H224" s="26" t="n">
        <x:v>0.00360109078012849</x:v>
      </x:c>
      <x:c r="I224" s="26" t="n">
        <x:v>0.19390079389856998</x:v>
      </x:c>
      <x:c r="J224" s="26" t="n">
        <x:v>0.007003906132075471</x:v>
      </x:c>
      <x:c r="K224" s="26" t="n">
        <x:v>-0.009520282701143691</x:v>
      </x:c>
      <x:c r="L224" s="26" t="n">
        <x:v>0.023528094965294635</x:v>
      </x:c>
      <x:c r="M224" s="26" t="n">
        <x:v>0.20305425439671873</x:v>
      </x:c>
      <x:c r="N224" s="26" t="n">
        <x:v>0.031446540880503145</x:v>
      </x:c>
      <x:c r="O224" s="26" t="n">
        <x:v>0.031446540880503145</x:v>
      </x:c>
      <x:c r="P224" s="26" t="n">
        <x:v>37</x:v>
      </x:c>
      <x:c r="Q224" s="26" t="n">
        <x:v>374</x:v>
      </x:c>
      <x:c r="R224" s="26" t="n">
        <x:v>416</x:v>
      </x:c>
      <x:c r="S224" s="26" t="n">
        <x:v>0.0033783783783783786</x:v>
      </x:c>
      <x:c r="T224" s="26" t="n">
        <x:v>-0.003243243243243243</x:v>
      </x:c>
      <x:c r="U224" s="26" t="n">
        <x:v>0.01</x:v>
      </x:c>
      <x:c r="V224" s="26" t="n">
        <x:v>0.15865525393145705</x:v>
      </x:c>
      <x:c r="W224" s="26" t="n">
        <x:v>0.0033783783783783786</x:v>
      </x:c>
      <x:c r="X224" s="26" t="n">
        <x:v>-0.003243243243243243</x:v>
      </x:c>
      <x:c r="Y224" s="26" t="n">
        <x:v>0.01</x:v>
      </x:c>
      <x:c r="Z224" s="26" t="n">
        <x:v>0.15865525393145705</x:v>
      </x:c>
      <x:c r="AA224" s="26" t="n">
        <x:v>0.02702702702702703</x:v>
      </x:c>
      <x:c r="AB224" s="26" t="n">
        <x:v>0.02702702702702703</x:v>
      </x:c>
      <x:c r="AC224" s="39" t="b">
        <x:v>1</x:v>
      </x:c>
      <x:c r="AD224" s="39" t="b">
        <x:v>1</x:v>
      </x:c>
      <x:c r="AE224" s="39" t="b">
        <x:v>0</x:v>
      </x:c>
      <x:c r="AF224" s="26" t="n">
        <x:v>0.001101405878272317</x:v>
      </x:c>
      <x:c r="AG224" s="26" t="n">
        <x:v>0.0033783783783783786</x:v>
      </x:c>
      <x:c r="AH224" s="26" t="n">
        <x:v>416</x:v>
      </x:c>
      <x:c r="AI224" s="26"/>
      <x:c r="AJ224" s="26" t="str">
        <x:v>추가 실험 필요</x:v>
      </x:c>
      <x:c r="AK224" s="27" t="str">
        <x:v>평균 효과 방향은 모두 양수이나 표본 또는 신뢰구간 기준을 통과하지 못함</x:v>
      </x:c>
    </x:row>
    <x:row r="225">
      <x:c r="A225" s="25" t="str">
        <x:v>GROCERY</x:v>
      </x:c>
      <x:c r="B225" s="26" t="str">
        <x:v>FRZN MEAT/MEAT DINNERS</x:v>
      </x:c>
      <x:c r="C225" s="26" t="n">
        <x:v>986</x:v>
      </x:c>
      <x:c r="D225" s="26" t="n">
        <x:v>27118</x:v>
      </x:c>
      <x:c r="E225" s="26" t="n">
        <x:v>62033</x:v>
      </x:c>
      <x:c r="F225" s="26" t="n">
        <x:v>0.008099819065242292</x:v>
      </x:c>
      <x:c r="G225" s="26" t="n">
        <x:v>0.004678449789956547</x:v>
      </x:c>
      <x:c r="H225" s="26" t="n">
        <x:v>0.011521188340528038</x:v>
      </x:c>
      <x:c r="I225" s="26" t="n">
        <x:v>0.0000017408342441949303</x:v>
      </x:c>
      <x:c r="J225" s="26" t="n">
        <x:v>0.023667978808022315</x:v>
      </x:c>
      <x:c r="K225" s="26" t="n">
        <x:v>0.014802144362392702</x:v>
      </x:c>
      <x:c r="L225" s="26" t="n">
        <x:v>0.03253381325365193</x:v>
      </x:c>
      <x:c r="M225" s="26" t="n">
        <x:v>8.36796523240324e-8</x:v>
      </x:c>
      <x:c r="N225" s="26" t="n">
        <x:v>0.20689655172413793</x:v>
      </x:c>
      <x:c r="O225" s="26" t="n">
        <x:v>0.2150101419878296</x:v>
      </x:c>
      <x:c r="P225" s="26" t="n">
        <x:v>900</x:v>
      </x:c>
      <x:c r="Q225" s="26" t="n">
        <x:v>51442</x:v>
      </x:c>
      <x:c r="R225" s="26" t="n">
        <x:v>121334</x:v>
      </x:c>
      <x:c r="S225" s="26" t="n">
        <x:v>0.0017271465777522652</x:v>
      </x:c>
      <x:c r="T225" s="26" t="n">
        <x:v>-0.0019606117559904856</x:v>
      </x:c>
      <x:c r="U225" s="26" t="n">
        <x:v>0.0054149049114950165</x:v>
      </x:c>
      <x:c r="V225" s="26" t="n">
        <x:v>0.17932042537694692</x:v>
      </x:c>
      <x:c r="W225" s="26" t="n">
        <x:v>0.0029987981670955566</x:v>
      </x:c>
      <x:c r="X225" s="26" t="n">
        <x:v>-0.01033836548625561</x:v>
      </x:c>
      <x:c r="Y225" s="26" t="n">
        <x:v>0.016335961820446724</x:v>
      </x:c>
      <x:c r="Z225" s="26" t="n">
        <x:v>0.32971628216896365</x:v>
      </x:c>
      <x:c r="AA225" s="26" t="n">
        <x:v>0.2511111111111111</x:v>
      </x:c>
      <x:c r="AB225" s="26" t="n">
        <x:v>0.2633333333333333</x:v>
      </x:c>
      <x:c r="AC225" s="39" t="b">
        <x:v>1</x:v>
      </x:c>
      <x:c r="AD225" s="39" t="b">
        <x:v>1</x:v>
      </x:c>
      <x:c r="AE225" s="39" t="b">
        <x:v>0</x:v>
      </x:c>
      <x:c r="AF225" s="26" t="n">
        <x:v>0.0017271465777522652</x:v>
      </x:c>
      <x:c r="AG225" s="26" t="n">
        <x:v>0.0029987981670955566</x:v>
      </x:c>
      <x:c r="AH225" s="26" t="n">
        <x:v>62033</x:v>
      </x:c>
      <x:c r="AI225" s="26"/>
      <x:c r="AJ225" s="26" t="str">
        <x:v>추가 실험 필요</x:v>
      </x:c>
      <x:c r="AK225" s="27" t="str">
        <x:v>평균 효과 방향은 모두 양수이나 표본 또는 신뢰구간 기준을 통과하지 못함</x:v>
      </x:c>
    </x:row>
    <x:row r="226">
      <x:c r="A226" s="25" t="str">
        <x:v>GROCERY</x:v>
      </x:c>
      <x:c r="B226" s="26" t="str">
        <x:v>CONVENIENT BRKFST/WHLSM SNACKS</x:v>
      </x:c>
      <x:c r="C226" s="26" t="n">
        <x:v>389</x:v>
      </x:c>
      <x:c r="D226" s="26" t="n">
        <x:v>12871</x:v>
      </x:c>
      <x:c r="E226" s="26" t="n">
        <x:v>27935</x:v>
      </x:c>
      <x:c r="F226" s="26" t="n">
        <x:v>0.005503122275501881</x:v>
      </x:c>
      <x:c r="G226" s="26" t="n">
        <x:v>-0.0006953062518523121</x:v>
      </x:c>
      <x:c r="H226" s="26" t="n">
        <x:v>0.011701550802856075</x:v>
      </x:c>
      <x:c r="I226" s="26" t="n">
        <x:v>0.040917413844980904</x:v>
      </x:c>
      <x:c r="J226" s="26" t="n">
        <x:v>0.01011503421799486</x:v>
      </x:c>
      <x:c r="K226" s="26" t="n">
        <x:v>-0.0025152661602202593</x:v>
      </x:c>
      <x:c r="L226" s="26" t="n">
        <x:v>0.02274533459620998</x:v>
      </x:c>
      <x:c r="M226" s="26" t="n">
        <x:v>0.05824536714731767</x:v>
      </x:c>
      <x:c r="N226" s="26" t="n">
        <x:v>0.17737789203084833</x:v>
      </x:c>
      <x:c r="O226" s="26" t="n">
        <x:v>0.18251928020565553</x:v>
      </x:c>
      <x:c r="P226" s="26" t="n">
        <x:v>255</x:v>
      </x:c>
      <x:c r="Q226" s="26" t="n">
        <x:v>9840</x:v>
      </x:c>
      <x:c r="R226" s="26" t="n">
        <x:v>17318</x:v>
      </x:c>
      <x:c r="S226" s="26" t="n">
        <x:v>0.0016904361312981672</x:v>
      </x:c>
      <x:c r="T226" s="26" t="n">
        <x:v>-0.003796745986848585</x:v>
      </x:c>
      <x:c r="U226" s="26" t="n">
        <x:v>0.00717761824944492</x:v>
      </x:c>
      <x:c r="V226" s="26" t="n">
        <x:v>0.2729825989756376</x:v>
      </x:c>
      <x:c r="W226" s="26" t="n">
        <x:v>0.002886151631662746</x:v>
      </x:c>
      <x:c r="X226" s="26" t="n">
        <x:v>-0.007290949908226386</x:v>
      </x:c>
      <x:c r="Y226" s="26" t="n">
        <x:v>0.013063253171551879</x:v>
      </x:c>
      <x:c r="Z226" s="26" t="n">
        <x:v>0.28915954543884653</x:v>
      </x:c>
      <x:c r="AA226" s="26" t="n">
        <x:v>0.17647058823529413</x:v>
      </x:c>
      <x:c r="AB226" s="26" t="n">
        <x:v>0.1803921568627451</x:v>
      </x:c>
      <x:c r="AC226" s="39" t="b">
        <x:v>1</x:v>
      </x:c>
      <x:c r="AD226" s="39" t="b">
        <x:v>1</x:v>
      </x:c>
      <x:c r="AE226" s="39" t="b">
        <x:v>0</x:v>
      </x:c>
      <x:c r="AF226" s="26" t="n">
        <x:v>0.0016904361312981672</x:v>
      </x:c>
      <x:c r="AG226" s="26" t="n">
        <x:v>0.002886151631662746</x:v>
      </x:c>
      <x:c r="AH226" s="26" t="n">
        <x:v>17318</x:v>
      </x:c>
      <x:c r="AI226" s="26"/>
      <x:c r="AJ226" s="26" t="str">
        <x:v>추가 실험 필요</x:v>
      </x:c>
      <x:c r="AK226" s="27" t="str">
        <x:v>평균 효과 방향은 모두 양수이나 표본 또는 신뢰구간 기준을 통과하지 못함</x:v>
      </x:c>
    </x:row>
    <x:row r="227">
      <x:c r="A227" s="25" t="str">
        <x:v>GROCERY</x:v>
      </x:c>
      <x:c r="B227" s="26" t="str">
        <x:v>CRACKERS/MISC BKD FD</x:v>
      </x:c>
      <x:c r="C227" s="26" t="n">
        <x:v>389</x:v>
      </x:c>
      <x:c r="D227" s="26" t="n">
        <x:v>20081</x:v>
      </x:c>
      <x:c r="E227" s="26" t="n">
        <x:v>101743</x:v>
      </x:c>
      <x:c r="F227" s="26" t="n">
        <x:v>0.0013476176449029556</x:v>
      </x:c>
      <x:c r="G227" s="26" t="n">
        <x:v>-0.0007173238026100244</x:v>
      </x:c>
      <x:c r="H227" s="26" t="n">
        <x:v>0.003412559092415936</x:v>
      </x:c>
      <x:c r="I227" s="26" t="n">
        <x:v>0.10042546732858534</x:v>
      </x:c>
      <x:c r="J227" s="26" t="n">
        <x:v>0.0028231316993316204</x:v>
      </x:c>
      <x:c r="K227" s="26" t="n">
        <x:v>-0.0015524358816728016</x:v>
      </x:c>
      <x:c r="L227" s="26" t="n">
        <x:v>0.007198699280336042</x:v>
      </x:c>
      <x:c r="M227" s="26" t="n">
        <x:v>0.10300756638370782</x:v>
      </x:c>
      <x:c r="N227" s="26" t="n">
        <x:v>0.17480719794344474</x:v>
      </x:c>
      <x:c r="O227" s="26" t="n">
        <x:v>0.17223650385604114</x:v>
      </x:c>
      <x:c r="P227" s="26" t="n">
        <x:v>316</x:v>
      </x:c>
      <x:c r="Q227" s="26" t="n">
        <x:v>18169</x:v>
      </x:c>
      <x:c r="R227" s="26" t="n">
        <x:v>62773</x:v>
      </x:c>
      <x:c r="S227" s="26" t="n">
        <x:v>0.0036156166677227585</x:v>
      </x:c>
      <x:c r="T227" s="26" t="n">
        <x:v>0.0012274374745589352</x:v>
      </x:c>
      <x:c r="U227" s="26" t="n">
        <x:v>0.006003795860886582</x:v>
      </x:c>
      <x:c r="V227" s="26" t="n">
        <x:v>0.0015018017104026042</x:v>
      </x:c>
      <x:c r="W227" s="26" t="n">
        <x:v>0.007613911938934475</x:v>
      </x:c>
      <x:c r="X227" s="26" t="n">
        <x:v>0.0034983338986283334</x:v>
      </x:c>
      <x:c r="Y227" s="26" t="n">
        <x:v>0.011729489979240618</x:v>
      </x:c>
      <x:c r="Z227" s="26" t="n">
        <x:v>0.00014389812268719124</x:v>
      </x:c>
      <x:c r="AA227" s="26" t="n">
        <x:v>0.22151898734177214</x:v>
      </x:c>
      <x:c r="AB227" s="26" t="n">
        <x:v>0.2120253164556962</x:v>
      </x:c>
      <x:c r="AC227" s="39" t="b">
        <x:v>1</x:v>
      </x:c>
      <x:c r="AD227" s="39" t="b">
        <x:v>1</x:v>
      </x:c>
      <x:c r="AE227" s="39" t="b">
        <x:v>0</x:v>
      </x:c>
      <x:c r="AF227" s="26" t="n">
        <x:v>0.0013476176449029556</x:v>
      </x:c>
      <x:c r="AG227" s="26" t="n">
        <x:v>0.0028231316993316204</x:v>
      </x:c>
      <x:c r="AH227" s="26" t="n">
        <x:v>62773</x:v>
      </x:c>
      <x:c r="AI227" s="26"/>
      <x:c r="AJ227" s="26" t="str">
        <x:v>추가 실험 필요</x:v>
      </x:c>
      <x:c r="AK227" s="27" t="str">
        <x:v>평균 효과 방향은 모두 양수이나 표본 또는 신뢰구간 기준을 통과하지 못함</x:v>
      </x:c>
    </x:row>
    <x:row r="228">
      <x:c r="A228" s="25" t="str">
        <x:v>DRUG GM</x:v>
      </x:c>
      <x:c r="B228" s="26" t="str">
        <x:v>ANALGESICS</x:v>
      </x:c>
      <x:c r="C228" s="26" t="n">
        <x:v>216</x:v>
      </x:c>
      <x:c r="D228" s="26" t="n">
        <x:v>3687</x:v>
      </x:c>
      <x:c r="E228" s="26" t="n">
        <x:v>6806</x:v>
      </x:c>
      <x:c r="F228" s="26" t="n">
        <x:v>-0.00005126965456177821</x:v>
      </x:c>
      <x:c r="G228" s="26" t="n">
        <x:v>-0.0023443044769747208</x:v>
      </x:c>
      <x:c r="H228" s="26" t="n">
        <x:v>0.0022417651678511646</x:v>
      </x:c>
      <x:c r="I228" s="26" t="n">
        <x:v>0.5174774024451201</x:v>
      </x:c>
      <x:c r="J228" s="26" t="n">
        <x:v>0.002430152875462963</x:v>
      </x:c>
      <x:c r="K228" s="26" t="n">
        <x:v>-0.01011548369355995</x:v>
      </x:c>
      <x:c r="L228" s="26" t="n">
        <x:v>0.014975789444485878</x:v>
      </x:c>
      <x:c r="M228" s="26" t="n">
        <x:v>0.35209821994034185</x:v>
      </x:c>
      <x:c r="N228" s="26" t="n">
        <x:v>0.05092592592592592</x:v>
      </x:c>
      <x:c r="O228" s="26" t="n">
        <x:v>0.05092592592592592</x:v>
      </x:c>
      <x:c r="P228" s="26" t="n">
        <x:v>122</x:v>
      </x:c>
      <x:c r="Q228" s="26" t="n">
        <x:v>1396</x:v>
      </x:c>
      <x:c r="R228" s="26" t="n">
        <x:v>1697</x:v>
      </x:c>
      <x:c r="S228" s="26" t="n">
        <x:v>0.006158091934394504</x:v>
      </x:c>
      <x:c r="T228" s="26" t="n">
        <x:v>-0.0029526666364295805</x:v>
      </x:c>
      <x:c r="U228" s="26" t="n">
        <x:v>0.015268850505218588</x:v>
      </x:c>
      <x:c r="V228" s="26" t="n">
        <x:v>0.09262007223035748</x:v>
      </x:c>
      <x:c r="W228" s="26" t="n">
        <x:v>0.057478551852459016</x:v>
      </x:c>
      <x:c r="X228" s="26" t="n">
        <x:v>-0.04949994470680722</x:v>
      </x:c>
      <x:c r="Y228" s="26" t="n">
        <x:v>0.16445704841172526</x:v>
      </x:c>
      <x:c r="Z228" s="26" t="n">
        <x:v>0.1461499227150317</x:v>
      </x:c>
      <x:c r="AA228" s="26" t="n">
        <x:v>0.07377049180327869</x:v>
      </x:c>
      <x:c r="AB228" s="26" t="n">
        <x:v>0.07377049180327869</x:v>
      </x:c>
      <x:c r="AC228" s="39" t="b">
        <x:v>1</x:v>
      </x:c>
      <x:c r="AD228" s="39" t="b">
        <x:v>1</x:v>
      </x:c>
      <x:c r="AE228" s="39" t="b">
        <x:v>0</x:v>
      </x:c>
      <x:c r="AF228" s="26" t="n">
        <x:v>-0.00005126965456177821</x:v>
      </x:c>
      <x:c r="AG228" s="26" t="n">
        <x:v>0.002430152875462963</x:v>
      </x:c>
      <x:c r="AH228" s="26" t="n">
        <x:v>1697</x:v>
      </x:c>
      <x:c r="AI228" s="26"/>
      <x:c r="AJ228" s="26" t="str">
        <x:v>추가 실험 필요</x:v>
      </x:c>
      <x:c r="AK228" s="27" t="str">
        <x:v>평균 효과 방향은 모두 양수이나 표본 또는 신뢰구간 기준을 통과하지 못함</x:v>
      </x:c>
    </x:row>
    <x:row r="229">
      <x:c r="A229" s="25" t="str">
        <x:v>DRUG GM</x:v>
      </x:c>
      <x:c r="B229" s="26" t="str">
        <x:v>ELECTRICAL SUPPPLIES</x:v>
      </x:c>
      <x:c r="C229" s="26" t="n">
        <x:v>33</x:v>
      </x:c>
      <x:c r="D229" s="26" t="n">
        <x:v>1178</x:v>
      </x:c>
      <x:c r="E229" s="26" t="n">
        <x:v>2407</x:v>
      </x:c>
      <x:c r="F229" s="26" t="n">
        <x:v>0.0010087067002209967</x:v>
      </x:c>
      <x:c r="G229" s="26" t="n">
        <x:v>-0.0023634381853947194</x:v>
      </x:c>
      <x:c r="H229" s="26" t="n">
        <x:v>0.004380851585836712</x:v>
      </x:c>
      <x:c r="I229" s="26" t="n">
        <x:v>0.27883929809785674</x:v>
      </x:c>
      <x:c r="J229" s="26" t="n">
        <x:v>0.002246172803030303</x:v>
      </x:c>
      <x:c r="K229" s="26" t="n">
        <x:v>-0.002914695281589221</x:v>
      </x:c>
      <x:c r="L229" s="26" t="n">
        <x:v>0.007407040887649827</x:v>
      </x:c>
      <x:c r="M229" s="26" t="n">
        <x:v>0.1968147047628472</x:v>
      </x:c>
      <x:c r="N229" s="26" t="n">
        <x:v>0.12121212121212122</x:v>
      </x:c>
      <x:c r="O229" s="26" t="n">
        <x:v>0.12121212121212122</x:v>
      </x:c>
      <x:c r="P229" s="26" t="n">
        <x:v>10</x:v>
      </x:c>
      <x:c r="Q229" s="26" t="n">
        <x:v>670</x:v>
      </x:c>
      <x:c r="R229" s="26" t="n">
        <x:v>882</x:v>
      </x:c>
      <x:c r="S229" s="26" t="n">
        <x:v>0.0041420145293889895</x:v>
      </x:c>
      <x:c r="T229" s="26" t="n">
        <x:v>-0.006610033863178682</x:v>
      </x:c>
      <x:c r="U229" s="26" t="n">
        <x:v>0.01489406292195666</x:v>
      </x:c>
      <x:c r="V229" s="26" t="n">
        <x:v>0.2251090909969226</x:v>
      </x:c>
      <x:c r="W229" s="26" t="n">
        <x:v>0.0022343233999999996</x:v>
      </x:c>
      <x:c r="X229" s="26" t="n">
        <x:v>-0.01504686372424902</x:v>
      </x:c>
      <x:c r="Y229" s="26" t="n">
        <x:v>0.01951551052424902</x:v>
      </x:c>
      <x:c r="Z229" s="26" t="n">
        <x:v>0.3999746221271072</x:v>
      </x:c>
      <x:c r="AA229" s="26" t="n">
        <x:v>0.3</x:v>
      </x:c>
      <x:c r="AB229" s="26" t="n">
        <x:v>0.3</x:v>
      </x:c>
      <x:c r="AC229" s="39" t="b">
        <x:v>1</x:v>
      </x:c>
      <x:c r="AD229" s="39" t="b">
        <x:v>1</x:v>
      </x:c>
      <x:c r="AE229" s="39" t="b">
        <x:v>0</x:v>
      </x:c>
      <x:c r="AF229" s="26" t="n">
        <x:v>0.0010087067002209967</x:v>
      </x:c>
      <x:c r="AG229" s="26" t="n">
        <x:v>0.0022343233999999996</x:v>
      </x:c>
      <x:c r="AH229" s="26" t="n">
        <x:v>882</x:v>
      </x:c>
      <x:c r="AI229" s="26"/>
      <x:c r="AJ229" s="26" t="str">
        <x:v>추가 실험 필요</x:v>
      </x:c>
      <x:c r="AK229" s="27" t="str">
        <x:v>평균 효과 방향은 모두 양수이나 표본 또는 신뢰구간 기준을 통과하지 못함</x:v>
      </x:c>
    </x:row>
    <x:row r="230">
      <x:c r="A230" s="25" t="str">
        <x:v>GROCERY</x:v>
      </x:c>
      <x:c r="B230" s="26" t="str">
        <x:v>BAKED SWEET GOODS</x:v>
      </x:c>
      <x:c r="C230" s="26" t="n">
        <x:v>255</x:v>
      </x:c>
      <x:c r="D230" s="26" t="n">
        <x:v>4625</x:v>
      </x:c>
      <x:c r="E230" s="26" t="n">
        <x:v>10692</x:v>
      </x:c>
      <x:c r="F230" s="26" t="n">
        <x:v>0.01000651571795336</x:v>
      </x:c>
      <x:c r="G230" s="26" t="n">
        <x:v>0.00044186060192733315</x:v>
      </x:c>
      <x:c r="H230" s="26" t="n">
        <x:v>0.019571170833979388</x:v>
      </x:c>
      <x:c r="I230" s="26" t="n">
        <x:v>0.020155561753097063</x:v>
      </x:c>
      <x:c r="J230" s="26" t="n">
        <x:v>0.028820388737254905</x:v>
      </x:c>
      <x:c r="K230" s="26" t="n">
        <x:v>-0.009244970951591727</x:v>
      </x:c>
      <x:c r="L230" s="26" t="n">
        <x:v>0.06688574842610154</x:v>
      </x:c>
      <x:c r="M230" s="26" t="n">
        <x:v>0.06890805607439181</x:v>
      </x:c>
      <x:c r="N230" s="26" t="n">
        <x:v>0.12156862745098039</x:v>
      </x:c>
      <x:c r="O230" s="26" t="n">
        <x:v>0.10980392156862745</x:v>
      </x:c>
      <x:c r="P230" s="26" t="n">
        <x:v>130</x:v>
      </x:c>
      <x:c r="Q230" s="26" t="n">
        <x:v>3772</x:v>
      </x:c>
      <x:c r="R230" s="26" t="n">
        <x:v>4772</x:v>
      </x:c>
      <x:c r="S230" s="26" t="n">
        <x:v>0.0024662722749388658</x:v>
      </x:c>
      <x:c r="T230" s="26" t="n">
        <x:v>-0.004757324846497241</x:v>
      </x:c>
      <x:c r="U230" s="26" t="n">
        <x:v>0.009689869396374971</x:v>
      </x:c>
      <x:c r="V230" s="26" t="n">
        <x:v>0.25169002506335314</x:v>
      </x:c>
      <x:c r="W230" s="26" t="n">
        <x:v>0.0008452305192307693</x:v>
      </x:c>
      <x:c r="X230" s="26" t="n">
        <x:v>-0.016069168864163815</x:v>
      </x:c>
      <x:c r="Y230" s="26" t="n">
        <x:v>0.017759629902625352</x:v>
      </x:c>
      <x:c r="Z230" s="26" t="n">
        <x:v>0.4609886648785416</x:v>
      </x:c>
      <x:c r="AA230" s="26" t="n">
        <x:v>0.16923076923076924</x:v>
      </x:c>
      <x:c r="AB230" s="26" t="n">
        <x:v>0.15384615384615385</x:v>
      </x:c>
      <x:c r="AC230" s="39" t="b">
        <x:v>1</x:v>
      </x:c>
      <x:c r="AD230" s="39" t="b">
        <x:v>1</x:v>
      </x:c>
      <x:c r="AE230" s="39" t="b">
        <x:v>0</x:v>
      </x:c>
      <x:c r="AF230" s="26" t="n">
        <x:v>0.0024662722749388658</x:v>
      </x:c>
      <x:c r="AG230" s="26" t="n">
        <x:v>0.0008452305192307693</x:v>
      </x:c>
      <x:c r="AH230" s="26" t="n">
        <x:v>4772</x:v>
      </x:c>
      <x:c r="AI230" s="26"/>
      <x:c r="AJ230" s="26" t="str">
        <x:v>추가 실험 필요</x:v>
      </x:c>
      <x:c r="AK230" s="27" t="str">
        <x:v>평균 효과 방향은 모두 양수이나 표본 또는 신뢰구간 기준을 통과하지 못함</x:v>
      </x:c>
    </x:row>
    <x:row r="231">
      <x:c r="A231" s="25" t="str">
        <x:v>GROCERY</x:v>
      </x:c>
      <x:c r="B231" s="26" t="str">
        <x:v>BEANS - CANNED GLASS &amp; MW</x:v>
      </x:c>
      <x:c r="C231" s="26" t="n">
        <x:v>111</x:v>
      </x:c>
      <x:c r="D231" s="26" t="n">
        <x:v>3781</x:v>
      </x:c>
      <x:c r="E231" s="26" t="n">
        <x:v>13424</x:v>
      </x:c>
      <x:c r="F231" s="26" t="n">
        <x:v>0.0024928715672823377</x:v>
      </x:c>
      <x:c r="G231" s="26" t="n">
        <x:v>-0.01804902232650155</x:v>
      </x:c>
      <x:c r="H231" s="26" t="n">
        <x:v>0.023034765461066222</x:v>
      </x:c>
      <x:c r="I231" s="26" t="n">
        <x:v>0.4059960978166159</x:v>
      </x:c>
      <x:c r="J231" s="26" t="n">
        <x:v>0.00048237831567567624</x:v>
      </x:c>
      <x:c r="K231" s="26" t="n">
        <x:v>-0.035879454247612456</x:v>
      </x:c>
      <x:c r="L231" s="26" t="n">
        <x:v>0.036844210878963814</x:v>
      </x:c>
      <x:c r="M231" s="26" t="n">
        <x:v>0.4896280785899086</x:v>
      </x:c>
      <x:c r="N231" s="26" t="n">
        <x:v>0.17117117117117117</x:v>
      </x:c>
      <x:c r="O231" s="26" t="n">
        <x:v>0.15315315315315314</x:v>
      </x:c>
      <x:c r="P231" s="26" t="n">
        <x:v>32</x:v>
      </x:c>
      <x:c r="Q231" s="26" t="n">
        <x:v>2285</x:v>
      </x:c>
      <x:c r="R231" s="26" t="n">
        <x:v>5484</x:v>
      </x:c>
      <x:c r="S231" s="26" t="n">
        <x:v>0.007055153485877822</x:v>
      </x:c>
      <x:c r="T231" s="26" t="n">
        <x:v>-0.000008406258470690028</x:v>
      </x:c>
      <x:c r="U231" s="26" t="n">
        <x:v>0.014118713230226334</x:v>
      </x:c>
      <x:c r="V231" s="26" t="n">
        <x:v>0.025134524862379912</x:v>
      </x:c>
      <x:c r="W231" s="26" t="n">
        <x:v>0.011944748165625</x:v>
      </x:c>
      <x:c r="X231" s="26" t="n">
        <x:v>-0.0013098362151218075</x:v>
      </x:c>
      <x:c r="Y231" s="26" t="n">
        <x:v>0.025199332546371807</x:v>
      </x:c>
      <x:c r="Z231" s="26" t="n">
        <x:v>0.03867191813127553</x:v>
      </x:c>
      <x:c r="AA231" s="26" t="n">
        <x:v>0.28125</x:v>
      </x:c>
      <x:c r="AB231" s="26" t="n">
        <x:v>0.25</x:v>
      </x:c>
      <x:c r="AC231" s="39" t="b">
        <x:v>1</x:v>
      </x:c>
      <x:c r="AD231" s="39" t="b">
        <x:v>1</x:v>
      </x:c>
      <x:c r="AE231" s="39" t="b">
        <x:v>0</x:v>
      </x:c>
      <x:c r="AF231" s="26" t="n">
        <x:v>0.0024928715672823377</x:v>
      </x:c>
      <x:c r="AG231" s="26" t="n">
        <x:v>0.00048237831567567624</x:v>
      </x:c>
      <x:c r="AH231" s="26" t="n">
        <x:v>5484</x:v>
      </x:c>
      <x:c r="AI231" s="26"/>
      <x:c r="AJ231" s="26" t="str">
        <x:v>추가 실험 필요</x:v>
      </x:c>
      <x:c r="AK231" s="27" t="str">
        <x:v>평균 효과 방향은 모두 양수이나 표본 또는 신뢰구간 기준을 통과하지 못함</x:v>
      </x:c>
    </x:row>
    <x:row r="232">
      <x:c r="A232" s="25" t="str">
        <x:v>GROCERY</x:v>
      </x:c>
      <x:c r="B232" s="26" t="str">
        <x:v>VEGETABLES - SHELF STABLE</x:v>
      </x:c>
      <x:c r="C232" s="26" t="n">
        <x:v>266</x:v>
      </x:c>
      <x:c r="D232" s="26" t="n">
        <x:v>9594</x:v>
      </x:c>
      <x:c r="E232" s="26" t="n">
        <x:v>49958</x:v>
      </x:c>
      <x:c r="F232" s="26" t="n">
        <x:v>0.00969101899251392</x:v>
      </x:c>
      <x:c r="G232" s="26" t="n">
        <x:v>-0.003063640760512654</x:v>
      </x:c>
      <x:c r="H232" s="26" t="n">
        <x:v>0.022445678745540494</x:v>
      </x:c>
      <x:c r="I232" s="26" t="n">
        <x:v>0.06821572571339117</x:v>
      </x:c>
      <x:c r="J232" s="26" t="n">
        <x:v>0.009618605538345865</x:v>
      </x:c>
      <x:c r="K232" s="26" t="n">
        <x:v>-0.009257457405257298</x:v>
      </x:c>
      <x:c r="L232" s="26" t="n">
        <x:v>0.02849466848194903</x:v>
      </x:c>
      <x:c r="M232" s="26" t="n">
        <x:v>0.15895791933697143</x:v>
      </x:c>
      <x:c r="N232" s="26" t="n">
        <x:v>0.13533834586466165</x:v>
      </x:c>
      <x:c r="O232" s="26" t="n">
        <x:v>0.14285714285714285</x:v>
      </x:c>
      <x:c r="P232" s="26" t="n">
        <x:v>208</x:v>
      </x:c>
      <x:c r="Q232" s="26" t="n">
        <x:v>7536</x:v>
      </x:c>
      <x:c r="R232" s="26" t="n">
        <x:v>16524</x:v>
      </x:c>
      <x:c r="S232" s="26" t="n">
        <x:v>-0.0017335497256983441</x:v>
      </x:c>
      <x:c r="T232" s="26" t="n">
        <x:v>-0.013133625194938516</x:v>
      </x:c>
      <x:c r="U232" s="26" t="n">
        <x:v>0.009666525743541828</x:v>
      </x:c>
      <x:c r="V232" s="26" t="n">
        <x:v>0.617166326194903</x:v>
      </x:c>
      <x:c r="W232" s="26" t="n">
        <x:v>0.0002568489860576925</x:v>
      </x:c>
      <x:c r="X232" s="26" t="n">
        <x:v>-0.012882243489002418</x:v>
      </x:c>
      <x:c r="Y232" s="26" t="n">
        <x:v>0.013395941461117803</x:v>
      </x:c>
      <x:c r="Z232" s="26" t="n">
        <x:v>0.48471827522154337</x:v>
      </x:c>
      <x:c r="AA232" s="26" t="n">
        <x:v>0.1201923076923077</x:v>
      </x:c>
      <x:c r="AB232" s="26" t="n">
        <x:v>0.1346153846153846</x:v>
      </x:c>
      <x:c r="AC232" s="39" t="b">
        <x:v>1</x:v>
      </x:c>
      <x:c r="AD232" s="39" t="b">
        <x:v>1</x:v>
      </x:c>
      <x:c r="AE232" s="39" t="b">
        <x:v>0</x:v>
      </x:c>
      <x:c r="AF232" s="26" t="n">
        <x:v>-0.0017335497256983441</x:v>
      </x:c>
      <x:c r="AG232" s="26" t="n">
        <x:v>0.0002568489860576925</x:v>
      </x:c>
      <x:c r="AH232" s="26" t="n">
        <x:v>16524</x:v>
      </x:c>
      <x:c r="AI232" s="26"/>
      <x:c r="AJ232" s="26" t="str">
        <x:v>추가 실험 필요</x:v>
      </x:c>
      <x:c r="AK232" s="27" t="str">
        <x:v>평균 효과 방향은 모두 양수이나 표본 또는 신뢰구간 기준을 통과하지 못함</x:v>
      </x:c>
    </x:row>
    <x:row r="233">
      <x:c r="A233" s="25" t="str">
        <x:v>GROCERY</x:v>
      </x:c>
      <x:c r="B233" s="26" t="str">
        <x:v>YOGURT</x:v>
      </x:c>
      <x:c r="C233" s="26" t="n">
        <x:v>494</x:v>
      </x:c>
      <x:c r="D233" s="26" t="n">
        <x:v>6105</x:v>
      </x:c>
      <x:c r="E233" s="26" t="n">
        <x:v>11637</x:v>
      </x:c>
      <x:c r="F233" s="26" t="n">
        <x:v>0.006146640292042365</x:v>
      </x:c>
      <x:c r="G233" s="26" t="n">
        <x:v>0.0006363132515463327</x:v>
      </x:c>
      <x:c r="H233" s="26" t="n">
        <x:v>0.011656967332538397</x:v>
      </x:c>
      <x:c r="I233" s="26" t="n">
        <x:v>0.014395591764129715</x:v>
      </x:c>
      <x:c r="J233" s="26" t="n">
        <x:v>0.006942327644331984</x:v>
      </x:c>
      <x:c r="K233" s="26" t="n">
        <x:v>-0.0010621722073668504</x:v>
      </x:c>
      <x:c r="L233" s="26" t="n">
        <x:v>0.01494682749603082</x:v>
      </x:c>
      <x:c r="M233" s="26" t="n">
        <x:v>0.044573541911062324</x:v>
      </x:c>
      <x:c r="N233" s="26" t="n">
        <x:v>0.09109311740890688</x:v>
      </x:c>
      <x:c r="O233" s="26" t="n">
        <x:v>0.10323886639676114</x:v>
      </x:c>
      <x:c r="P233" s="26" t="n">
        <x:v>448</x:v>
      </x:c>
      <x:c r="Q233" s="26" t="n">
        <x:v>15809</x:v>
      </x:c>
      <x:c r="R233" s="26" t="n">
        <x:v>28579</x:v>
      </x:c>
      <x:c r="S233" s="26" t="n">
        <x:v>0.0027240762099399415</x:v>
      </x:c>
      <x:c r="T233" s="26" t="n">
        <x:v>0.000032336991663235466</x:v>
      </x:c>
      <x:c r="U233" s="26" t="n">
        <x:v>0.005415815428216647</x:v>
      </x:c>
      <x:c r="V233" s="26" t="n">
        <x:v>0.023653220260224615</x:v>
      </x:c>
      <x:c r="W233" s="26" t="n">
        <x:v>0.00019974768741071378</x:v>
      </x:c>
      <x:c r="X233" s="26" t="n">
        <x:v>-0.004547148772262243</x:v>
      </x:c>
      <x:c r="Y233" s="26" t="n">
        <x:v>0.00494664414708367</x:v>
      </x:c>
      <x:c r="Z233" s="26" t="n">
        <x:v>0.4671340648363943</x:v>
      </x:c>
      <x:c r="AA233" s="26" t="n">
        <x:v>0.15848214285714285</x:v>
      </x:c>
      <x:c r="AB233" s="26" t="n">
        <x:v>0.15625</x:v>
      </x:c>
      <x:c r="AC233" s="39" t="b">
        <x:v>1</x:v>
      </x:c>
      <x:c r="AD233" s="39" t="b">
        <x:v>1</x:v>
      </x:c>
      <x:c r="AE233" s="39" t="b">
        <x:v>0</x:v>
      </x:c>
      <x:c r="AF233" s="26" t="n">
        <x:v>0.0027240762099399415</x:v>
      </x:c>
      <x:c r="AG233" s="26" t="n">
        <x:v>0.00019974768741071378</x:v>
      </x:c>
      <x:c r="AH233" s="26" t="n">
        <x:v>11637</x:v>
      </x:c>
      <x:c r="AI233" s="26"/>
      <x:c r="AJ233" s="26" t="str">
        <x:v>추가 실험 필요</x:v>
      </x:c>
      <x:c r="AK233" s="27" t="str">
        <x:v>평균 효과 방향은 모두 양수이나 표본 또는 신뢰구간 기준을 통과하지 못함</x:v>
      </x:c>
    </x:row>
    <x:row r="234">
      <x:c r="A234" s="25" t="str">
        <x:v>DRUG GM</x:v>
      </x:c>
      <x:c r="B234" s="26" t="str">
        <x:v>SOAP - LIQUID &amp; BAR</x:v>
      </x:c>
      <x:c r="C234" s="26" t="n">
        <x:v>284</x:v>
      </x:c>
      <x:c r="D234" s="26" t="n">
        <x:v>8299</x:v>
      </x:c>
      <x:c r="E234" s="26" t="n">
        <x:v>13864</x:v>
      </x:c>
      <x:c r="F234" s="26" t="n">
        <x:v>0.0005157200330480562</x:v>
      </x:c>
      <x:c r="G234" s="26" t="n">
        <x:v>-0.0022461507355211636</x:v>
      </x:c>
      <x:c r="H234" s="26" t="n">
        <x:v>0.0032775908016172764</x:v>
      </x:c>
      <x:c r="I234" s="26" t="n">
        <x:v>0.35718705468710144</x:v>
      </x:c>
      <x:c r="J234" s="26" t="n">
        <x:v>-0.00003083018584507005</x:v>
      </x:c>
      <x:c r="K234" s="26" t="n">
        <x:v>-0.009878079811150988</x:v>
      </x:c>
      <x:c r="L234" s="26" t="n">
        <x:v>0.00981641943946085</x:v>
      </x:c>
      <x:c r="M234" s="26" t="n">
        <x:v>0.5024480743689258</x:v>
      </x:c>
      <x:c r="N234" s="26" t="n">
        <x:v>0.14084507042253522</x:v>
      </x:c>
      <x:c r="O234" s="26" t="n">
        <x:v>0.14084507042253522</x:v>
      </x:c>
      <x:c r="P234" s="26" t="n">
        <x:v>139</x:v>
      </x:c>
      <x:c r="Q234" s="26" t="n">
        <x:v>2300</x:v>
      </x:c>
      <x:c r="R234" s="26" t="n">
        <x:v>2781</x:v>
      </x:c>
      <x:c r="S234" s="26" t="n">
        <x:v>0.0014536316316184083</x:v>
      </x:c>
      <x:c r="T234" s="26" t="n">
        <x:v>-0.003601404156853124</x:v>
      </x:c>
      <x:c r="U234" s="26" t="n">
        <x:v>0.00650866742008994</x:v>
      </x:c>
      <x:c r="V234" s="26" t="n">
        <x:v>0.2865064720363781</x:v>
      </x:c>
      <x:c r="W234" s="26" t="n">
        <x:v>0.0009560701079136695</x:v>
      </x:c>
      <x:c r="X234" s="26" t="n">
        <x:v>-0.011202919375344778</x:v>
      </x:c>
      <x:c r="Y234" s="26" t="n">
        <x:v>0.013115059591172117</x:v>
      </x:c>
      <x:c r="Z234" s="26" t="n">
        <x:v>0.4387590524910323</x:v>
      </x:c>
      <x:c r="AA234" s="26" t="n">
        <x:v>0.05755395683453238</x:v>
      </x:c>
      <x:c r="AB234" s="26" t="n">
        <x:v>0.05755395683453238</x:v>
      </x:c>
      <x:c r="AC234" s="39" t="b">
        <x:v>1</x:v>
      </x:c>
      <x:c r="AD234" s="39" t="b">
        <x:v>1</x:v>
      </x:c>
      <x:c r="AE234" s="39" t="b">
        <x:v>0</x:v>
      </x:c>
      <x:c r="AF234" s="26" t="n">
        <x:v>0.0005157200330480562</x:v>
      </x:c>
      <x:c r="AG234" s="26" t="n">
        <x:v>-0.00003083018584507005</x:v>
      </x:c>
      <x:c r="AH234" s="26" t="n">
        <x:v>2781</x:v>
      </x:c>
      <x:c r="AI234" s="26"/>
      <x:c r="AJ234" s="26" t="str">
        <x:v>추가 실험 필요</x:v>
      </x:c>
      <x:c r="AK234" s="27" t="str">
        <x:v>평균 효과 방향은 모두 양수이나 표본 또는 신뢰구간 기준을 통과하지 못함</x:v>
      </x:c>
    </x:row>
    <x:row r="235">
      <x:c r="A235" s="25" t="str">
        <x:v>GROCERY</x:v>
      </x:c>
      <x:c r="B235" s="26" t="str">
        <x:v>FRZN POTATOES</x:v>
      </x:c>
      <x:c r="C235" s="26" t="n">
        <x:v>94</x:v>
      </x:c>
      <x:c r="D235" s="26" t="n">
        <x:v>2441</x:v>
      </x:c>
      <x:c r="E235" s="26" t="n">
        <x:v>5195</x:v>
      </x:c>
      <x:c r="F235" s="26" t="n">
        <x:v>0.002539772658811238</x:v>
      </x:c>
      <x:c r="G235" s="26" t="n">
        <x:v>-0.005205456436083939</x:v>
      </x:c>
      <x:c r="H235" s="26" t="n">
        <x:v>0.010285001753706413</x:v>
      </x:c>
      <x:c r="I235" s="26" t="n">
        <x:v>0.26020538218516326</x:v>
      </x:c>
      <x:c r="J235" s="26" t="n">
        <x:v>-0.00043360867021276375</x:v>
      </x:c>
      <x:c r="K235" s="26" t="n">
        <x:v>-0.015635429340930415</x:v>
      </x:c>
      <x:c r="L235" s="26" t="n">
        <x:v>0.014768212000504887</x:v>
      </x:c>
      <x:c r="M235" s="26" t="n">
        <x:v>0.522291654689226</x:v>
      </x:c>
      <x:c r="N235" s="26" t="n">
        <x:v>0.1702127659574468</x:v>
      </x:c>
      <x:c r="O235" s="26" t="n">
        <x:v>0.1702127659574468</x:v>
      </x:c>
      <x:c r="P235" s="26" t="n">
        <x:v>94</x:v>
      </x:c>
      <x:c r="Q235" s="26" t="n">
        <x:v>3769</x:v>
      </x:c>
      <x:c r="R235" s="26" t="n">
        <x:v>6243</x:v>
      </x:c>
      <x:c r="S235" s="26" t="n">
        <x:v>0.0061697099650334</x:v>
      </x:c>
      <x:c r="T235" s="26" t="n">
        <x:v>0.0013897105951466504</x:v>
      </x:c>
      <x:c r="U235" s="26" t="n">
        <x:v>0.010949709334920149</x:v>
      </x:c>
      <x:c r="V235" s="26" t="n">
        <x:v>0.005705734628518767</x:v>
      </x:c>
      <x:c r="W235" s="26" t="n">
        <x:v>0.01105899980819149</x:v>
      </x:c>
      <x:c r="X235" s="26" t="n">
        <x:v>0.001496424627310056</x:v>
      </x:c>
      <x:c r="Y235" s="26" t="n">
        <x:v>0.020621574989072924</x:v>
      </x:c>
      <x:c r="Z235" s="26" t="n">
        <x:v>0.011703798299729366</x:v>
      </x:c>
      <x:c r="AA235" s="26" t="n">
        <x:v>0.23404255319148937</x:v>
      </x:c>
      <x:c r="AB235" s="26" t="n">
        <x:v>0.2553191489361702</x:v>
      </x:c>
      <x:c r="AC235" s="39" t="b">
        <x:v>1</x:v>
      </x:c>
      <x:c r="AD235" s="39" t="b">
        <x:v>1</x:v>
      </x:c>
      <x:c r="AE235" s="39" t="b">
        <x:v>0</x:v>
      </x:c>
      <x:c r="AF235" s="26" t="n">
        <x:v>0.002539772658811238</x:v>
      </x:c>
      <x:c r="AG235" s="26" t="n">
        <x:v>-0.00043360867021276375</x:v>
      </x:c>
      <x:c r="AH235" s="26" t="n">
        <x:v>5195</x:v>
      </x:c>
      <x:c r="AI235" s="26"/>
      <x:c r="AJ235" s="26" t="str">
        <x:v>추가 실험 필요</x:v>
      </x:c>
      <x:c r="AK235" s="27" t="str">
        <x:v>평균 효과 방향은 모두 양수이나 표본 또는 신뢰구간 기준을 통과하지 못함</x:v>
      </x:c>
    </x:row>
    <x:row r="236">
      <x:c r="A236" s="25" t="str">
        <x:v>GROCERY</x:v>
      </x:c>
      <x:c r="B236" s="26" t="str">
        <x:v>CHEESE</x:v>
      </x:c>
      <x:c r="C236" s="26" t="n">
        <x:v>561</x:v>
      </x:c>
      <x:c r="D236" s="26" t="n">
        <x:v>14949</x:v>
      </x:c>
      <x:c r="E236" s="26" t="n">
        <x:v>69456</x:v>
      </x:c>
      <x:c r="F236" s="26" t="n">
        <x:v>0.0016795383139967563</x:v>
      </x:c>
      <x:c r="G236" s="26" t="n">
        <x:v>-0.005795695842926384</x:v>
      </x:c>
      <x:c r="H236" s="26" t="n">
        <x:v>0.009154772470919897</x:v>
      </x:c>
      <x:c r="I236" s="26" t="n">
        <x:v>0.329833304181007</x:v>
      </x:c>
      <x:c r="J236" s="26" t="n">
        <x:v>-0.0009718721164705867</x:v>
      </x:c>
      <x:c r="K236" s="26" t="n">
        <x:v>-0.01898071174253714</x:v>
      </x:c>
      <x:c r="L236" s="26" t="n">
        <x:v>0.01703696750959597</x:v>
      </x:c>
      <x:c r="M236" s="26" t="n">
        <x:v>0.542119218654848</x:v>
      </x:c>
      <x:c r="N236" s="26" t="n">
        <x:v>0.12121212121212122</x:v>
      </x:c>
      <x:c r="O236" s="26" t="n">
        <x:v>0.10338680926916222</x:v>
      </x:c>
      <x:c r="P236" s="26" t="n">
        <x:v>528</x:v>
      </x:c>
      <x:c r="Q236" s="26" t="n">
        <x:v>28101</x:v>
      </x:c>
      <x:c r="R236" s="26" t="n">
        <x:v>122884</x:v>
      </x:c>
      <x:c r="S236" s="26" t="n">
        <x:v>0.0064886138385725975</x:v>
      </x:c>
      <x:c r="T236" s="26" t="n">
        <x:v>0.0035927710434785977</x:v>
      </x:c>
      <x:c r="U236" s="26" t="n">
        <x:v>0.009384456633666598</x:v>
      </x:c>
      <x:c r="V236" s="26" t="n">
        <x:v>0.000005623298454728314</x:v>
      </x:c>
      <x:c r="W236" s="26" t="n">
        <x:v>0.012316981997916669</x:v>
      </x:c>
      <x:c r="X236" s="26" t="n">
        <x:v>0.005328444608982476</x:v>
      </x:c>
      <x:c r="Y236" s="26" t="n">
        <x:v>0.01930551938685086</x:v>
      </x:c>
      <x:c r="Z236" s="26" t="n">
        <x:v>0.0002757474775381482</x:v>
      </x:c>
      <x:c r="AA236" s="26" t="n">
        <x:v>0.17613636363636365</x:v>
      </x:c>
      <x:c r="AB236" s="26" t="n">
        <x:v>0.17803030303030304</x:v>
      </x:c>
      <x:c r="AC236" s="39" t="b">
        <x:v>1</x:v>
      </x:c>
      <x:c r="AD236" s="39" t="b">
        <x:v>1</x:v>
      </x:c>
      <x:c r="AE236" s="39" t="b">
        <x:v>0</x:v>
      </x:c>
      <x:c r="AF236" s="26" t="n">
        <x:v>0.0016795383139967563</x:v>
      </x:c>
      <x:c r="AG236" s="26" t="n">
        <x:v>-0.0009718721164705867</x:v>
      </x:c>
      <x:c r="AH236" s="26" t="n">
        <x:v>69456</x:v>
      </x:c>
      <x:c r="AI236" s="26"/>
      <x:c r="AJ236" s="26" t="str">
        <x:v>추가 실험 필요</x:v>
      </x:c>
      <x:c r="AK236" s="27" t="str">
        <x:v>평균 효과 방향은 모두 양수이나 표본 또는 신뢰구간 기준을 통과하지 못함</x:v>
      </x:c>
    </x:row>
    <x:row r="237">
      <x:c r="A237" s="25" t="str">
        <x:v>GROCERY</x:v>
      </x:c>
      <x:c r="B237" s="26" t="str">
        <x:v>REFRGRATD JUICES/DRNKS</x:v>
      </x:c>
      <x:c r="C237" s="26" t="n">
        <x:v>284</x:v>
      </x:c>
      <x:c r="D237" s="26" t="n">
        <x:v>7638</x:v>
      </x:c>
      <x:c r="E237" s="26" t="n">
        <x:v>28038</x:v>
      </x:c>
      <x:c r="F237" s="26" t="n">
        <x:v>0.00010059875314510679</x:v>
      </x:c>
      <x:c r="G237" s="26" t="n">
        <x:v>-0.009305445932930837</x:v>
      </x:c>
      <x:c r="H237" s="26" t="n">
        <x:v>0.009506643439221052</x:v>
      </x:c>
      <x:c r="I237" s="26" t="n">
        <x:v>0.49163781267999196</x:v>
      </x:c>
      <x:c r="J237" s="26" t="n">
        <x:v>-0.001168785295774649</x:v>
      </x:c>
      <x:c r="K237" s="26" t="n">
        <x:v>-0.025966210197334434</x:v>
      </x:c>
      <x:c r="L237" s="26" t="n">
        <x:v>0.023628639605785134</x:v>
      </x:c>
      <x:c r="M237" s="26" t="n">
        <x:v>0.5368024651438279</x:v>
      </x:c>
      <x:c r="N237" s="26" t="n">
        <x:v>0.13028169014084506</x:v>
      </x:c>
      <x:c r="O237" s="26" t="n">
        <x:v>0.13028169014084506</x:v>
      </x:c>
      <x:c r="P237" s="26" t="n">
        <x:v>235</x:v>
      </x:c>
      <x:c r="Q237" s="26" t="n">
        <x:v>11092</x:v>
      </x:c>
      <x:c r="R237" s="26" t="n">
        <x:v>35767</x:v>
      </x:c>
      <x:c r="S237" s="26" t="n">
        <x:v>0.0054669418583119175</x:v>
      </x:c>
      <x:c r="T237" s="26" t="n">
        <x:v>0.001589614246009639</x:v>
      </x:c>
      <x:c r="U237" s="26" t="n">
        <x:v>0.009344269470614196</x:v>
      </x:c>
      <x:c r="V237" s="26" t="n">
        <x:v>0.002858777450284066</x:v>
      </x:c>
      <x:c r="W237" s="26" t="n">
        <x:v>-0.0011897672080851066</x:v>
      </x:c>
      <x:c r="X237" s="26" t="n">
        <x:v>-0.0281679982782397</x:v>
      </x:c>
      <x:c r="Y237" s="26" t="n">
        <x:v>0.025788463862069486</x:v>
      </x:c>
      <x:c r="Z237" s="26" t="n">
        <x:v>0.5344408708598669</x:v>
      </x:c>
      <x:c r="AA237" s="26" t="n">
        <x:v>0.16595744680851063</x:v>
      </x:c>
      <x:c r="AB237" s="26" t="n">
        <x:v>0.1702127659574468</x:v>
      </x:c>
      <x:c r="AC237" s="39" t="b">
        <x:v>1</x:v>
      </x:c>
      <x:c r="AD237" s="39" t="b">
        <x:v>1</x:v>
      </x:c>
      <x:c r="AE237" s="39" t="b">
        <x:v>0</x:v>
      </x:c>
      <x:c r="AF237" s="26" t="n">
        <x:v>0.00010059875314510679</x:v>
      </x:c>
      <x:c r="AG237" s="26" t="n">
        <x:v>-0.0011897672080851066</x:v>
      </x:c>
      <x:c r="AH237" s="26" t="n">
        <x:v>28038</x:v>
      </x:c>
      <x:c r="AI237" s="26"/>
      <x:c r="AJ237" s="26" t="str">
        <x:v>추가 실험 필요</x:v>
      </x:c>
      <x:c r="AK237" s="27" t="str">
        <x:v>평균 효과 방향은 모두 양수이나 표본 또는 신뢰구간 기준을 통과하지 못함</x:v>
      </x:c>
    </x:row>
    <x:row r="238">
      <x:c r="A238" s="25" t="str">
        <x:v>DRUG GM</x:v>
      </x:c>
      <x:c r="B238" s="26" t="str">
        <x:v>CANDY - PACKAGED</x:v>
      </x:c>
      <x:c r="C238" s="26" t="n">
        <x:v>900</x:v>
      </x:c>
      <x:c r="D238" s="26" t="n">
        <x:v>21638</x:v>
      </x:c>
      <x:c r="E238" s="26" t="n">
        <x:v>63957</x:v>
      </x:c>
      <x:c r="F238" s="26" t="n">
        <x:v>0.0008772451766746256</x:v>
      </x:c>
      <x:c r="G238" s="26" t="n">
        <x:v>-0.004152086141643353</x:v>
      </x:c>
      <x:c r="H238" s="26" t="n">
        <x:v>0.005906576494992604</x:v>
      </x:c>
      <x:c r="I238" s="26" t="n">
        <x:v>0.3662226391767254</x:v>
      </x:c>
      <x:c r="J238" s="26" t="n">
        <x:v>-0.001656826790344443</x:v>
      </x:c>
      <x:c r="K238" s="26" t="n">
        <x:v>-0.015489710637615638</x:v>
      </x:c>
      <x:c r="L238" s="26" t="n">
        <x:v>0.012176057056926752</x:v>
      </x:c>
      <x:c r="M238" s="26" t="n">
        <x:v>0.5928017262221141</x:v>
      </x:c>
      <x:c r="N238" s="26" t="n">
        <x:v>0.1411111111111111</x:v>
      </x:c>
      <x:c r="O238" s="26" t="n">
        <x:v>0.15</x:v>
      </x:c>
      <x:c r="P238" s="26" t="n">
        <x:v>426</x:v>
      </x:c>
      <x:c r="Q238" s="26" t="n">
        <x:v>15658</x:v>
      </x:c>
      <x:c r="R238" s="26" t="n">
        <x:v>48534</x:v>
      </x:c>
      <x:c r="S238" s="26" t="n">
        <x:v>0.009407404095146944</x:v>
      </x:c>
      <x:c r="T238" s="26" t="n">
        <x:v>0.005316356558040928</x:v>
      </x:c>
      <x:c r="U238" s="26" t="n">
        <x:v>0.01349845163225296</x:v>
      </x:c>
      <x:c r="V238" s="26" t="n">
        <x:v>0.000003286923070298318</x:v>
      </x:c>
      <x:c r="W238" s="26" t="n">
        <x:v>0.024735417510023474</x:v>
      </x:c>
      <x:c r="X238" s="26" t="n">
        <x:v>0.013270844863702546</x:v>
      </x:c>
      <x:c r="Y238" s="26" t="n">
        <x:v>0.036199990156344404</x:v>
      </x:c>
      <x:c r="Z238" s="26" t="n">
        <x:v>0.000011746901480895446</x:v>
      </x:c>
      <x:c r="AA238" s="26" t="n">
        <x:v>0.19014084507042253</x:v>
      </x:c>
      <x:c r="AB238" s="26" t="n">
        <x:v>0.1807511737089202</x:v>
      </x:c>
      <x:c r="AC238" s="39" t="b">
        <x:v>1</x:v>
      </x:c>
      <x:c r="AD238" s="39" t="b">
        <x:v>1</x:v>
      </x:c>
      <x:c r="AE238" s="39" t="b">
        <x:v>0</x:v>
      </x:c>
      <x:c r="AF238" s="26" t="n">
        <x:v>0.0008772451766746256</x:v>
      </x:c>
      <x:c r="AG238" s="26" t="n">
        <x:v>-0.001656826790344443</x:v>
      </x:c>
      <x:c r="AH238" s="26" t="n">
        <x:v>48534</x:v>
      </x:c>
      <x:c r="AI238" s="26"/>
      <x:c r="AJ238" s="26" t="str">
        <x:v>추가 실험 필요</x:v>
      </x:c>
      <x:c r="AK238" s="27" t="str">
        <x:v>평균 효과 방향은 모두 양수이나 표본 또는 신뢰구간 기준을 통과하지 못함</x:v>
      </x:c>
    </x:row>
    <x:row r="239">
      <x:c r="A239" s="25" t="str">
        <x:v>GROCERY</x:v>
      </x:c>
      <x:c r="B239" s="26" t="str">
        <x:v>FROZEN PIE/DESSERTS</x:v>
      </x:c>
      <x:c r="C239" s="26" t="n">
        <x:v>159</x:v>
      </x:c>
      <x:c r="D239" s="26" t="n">
        <x:v>6818</x:v>
      </x:c>
      <x:c r="E239" s="26" t="n">
        <x:v>19996</x:v>
      </x:c>
      <x:c r="F239" s="26" t="n">
        <x:v>0.0006918762203875102</x:v>
      </x:c>
      <x:c r="G239" s="26" t="n">
        <x:v>-0.004881331118744894</x:v>
      </x:c>
      <x:c r="H239" s="26" t="n">
        <x:v>0.006265083559519915</x:v>
      </x:c>
      <x:c r="I239" s="26" t="n">
        <x:v>0.403878437625817</x:v>
      </x:c>
      <x:c r="J239" s="26" t="n">
        <x:v>-0.00221777026918239</x:v>
      </x:c>
      <x:c r="K239" s="26" t="n">
        <x:v>-0.0244881394027534</x:v>
      </x:c>
      <x:c r="L239" s="26" t="n">
        <x:v>0.02005259886438862</x:v>
      </x:c>
      <x:c r="M239" s="26" t="n">
        <x:v>0.5773757235719789</x:v>
      </x:c>
      <x:c r="N239" s="26" t="n">
        <x:v>0.2389937106918239</x:v>
      </x:c>
      <x:c r="O239" s="26" t="n">
        <x:v>0.24528301886792453</x:v>
      </x:c>
      <x:c r="P239" s="26" t="n">
        <x:v>136</x:v>
      </x:c>
      <x:c r="Q239" s="26" t="n">
        <x:v>7643</x:v>
      </x:c>
      <x:c r="R239" s="26" t="n">
        <x:v>14720</x:v>
      </x:c>
      <x:c r="S239" s="26" t="n">
        <x:v>0.0011039435671024664</x:v>
      </x:c>
      <x:c r="T239" s="26" t="n">
        <x:v>-0.002567950179012901</x:v>
      </x:c>
      <x:c r="U239" s="26" t="n">
        <x:v>0.004775837313217833</x:v>
      </x:c>
      <x:c r="V239" s="26" t="n">
        <x:v>0.27784076223263754</x:v>
      </x:c>
      <x:c r="W239" s="26" t="n">
        <x:v>0.004262911430147058</x:v>
      </x:c>
      <x:c r="X239" s="26" t="n">
        <x:v>-0.009185419305167376</x:v>
      </x:c>
      <x:c r="Y239" s="26" t="n">
        <x:v>0.017711242165461494</x:v>
      </x:c>
      <x:c r="Z239" s="26" t="n">
        <x:v>0.2672045872418381</x:v>
      </x:c>
      <x:c r="AA239" s="26" t="n">
        <x:v>0.21323529411764705</x:v>
      </x:c>
      <x:c r="AB239" s="26" t="n">
        <x:v>0.21323529411764705</x:v>
      </x:c>
      <x:c r="AC239" s="39" t="b">
        <x:v>1</x:v>
      </x:c>
      <x:c r="AD239" s="39" t="b">
        <x:v>1</x:v>
      </x:c>
      <x:c r="AE239" s="39" t="b">
        <x:v>0</x:v>
      </x:c>
      <x:c r="AF239" s="26" t="n">
        <x:v>0.0006918762203875102</x:v>
      </x:c>
      <x:c r="AG239" s="26" t="n">
        <x:v>-0.00221777026918239</x:v>
      </x:c>
      <x:c r="AH239" s="26" t="n">
        <x:v>14720</x:v>
      </x:c>
      <x:c r="AI239" s="26"/>
      <x:c r="AJ239" s="26" t="str">
        <x:v>추가 실험 필요</x:v>
      </x:c>
      <x:c r="AK239" s="27" t="str">
        <x:v>평균 효과 방향은 모두 양수이나 표본 또는 신뢰구간 기준을 통과하지 못함</x:v>
      </x:c>
    </x:row>
    <x:row r="240">
      <x:c r="A240" s="25" t="str">
        <x:v>GROCERY</x:v>
      </x:c>
      <x:c r="B240" s="26" t="str">
        <x:v>LAUNDRY ADDITIVES</x:v>
      </x:c>
      <x:c r="C240" s="26" t="n">
        <x:v>97</x:v>
      </x:c>
      <x:c r="D240" s="26" t="n">
        <x:v>1651</x:v>
      </x:c>
      <x:c r="E240" s="26" t="n">
        <x:v>2908</x:v>
      </x:c>
      <x:c r="F240" s="26" t="n">
        <x:v>0.0028416383301774545</x:v>
      </x:c>
      <x:c r="G240" s="26" t="n">
        <x:v>-0.0053096016032525605</x:v>
      </x:c>
      <x:c r="H240" s="26" t="n">
        <x:v>0.01099287826360747</x:v>
      </x:c>
      <x:c r="I240" s="26" t="n">
        <x:v>0.24721372833289496</x:v>
      </x:c>
      <x:c r="J240" s="26" t="n">
        <x:v>0.015287012288659795</x:v>
      </x:c>
      <x:c r="K240" s="26" t="n">
        <x:v>-0.01960022416427295</x:v>
      </x:c>
      <x:c r="L240" s="26" t="n">
        <x:v>0.050174248741592535</x:v>
      </x:c>
      <x:c r="M240" s="26" t="n">
        <x:v>0.19521447750545654</x:v>
      </x:c>
      <x:c r="N240" s="26" t="n">
        <x:v>0.16494845360824742</x:v>
      </x:c>
      <x:c r="O240" s="26" t="n">
        <x:v>0.16494845360824742</x:v>
      </x:c>
      <x:c r="P240" s="26" t="n">
        <x:v>69</x:v>
      </x:c>
      <x:c r="Q240" s="26" t="n">
        <x:v>1407</x:v>
      </x:c>
      <x:c r="R240" s="26" t="n">
        <x:v>2062</x:v>
      </x:c>
      <x:c r="S240" s="26" t="n">
        <x:v>-0.0019600312187617987</x:v>
      </x:c>
      <x:c r="T240" s="26" t="n">
        <x:v>-0.010093976089035842</x:v>
      </x:c>
      <x:c r="U240" s="26" t="n">
        <x:v>0.006173913651512246</x:v>
      </x:c>
      <x:c r="V240" s="26" t="n">
        <x:v>0.6816436221111253</x:v>
      </x:c>
      <x:c r="W240" s="26" t="n">
        <x:v>-0.0026200984202898554</x:v>
      </x:c>
      <x:c r="X240" s="26" t="n">
        <x:v>-0.031519431890709035</x:v>
      </x:c>
      <x:c r="Y240" s="26" t="n">
        <x:v>0.026279235050129322</x:v>
      </x:c>
      <x:c r="Z240" s="26" t="n">
        <x:v>0.5705204539006665</x:v>
      </x:c>
      <x:c r="AA240" s="26" t="n">
        <x:v>0.11594202898550725</x:v>
      </x:c>
      <x:c r="AB240" s="26" t="n">
        <x:v>0.11594202898550725</x:v>
      </x:c>
      <x:c r="AC240" s="39" t="b">
        <x:v>1</x:v>
      </x:c>
      <x:c r="AD240" s="39" t="b">
        <x:v>1</x:v>
      </x:c>
      <x:c r="AE240" s="39" t="b">
        <x:v>0</x:v>
      </x:c>
      <x:c r="AF240" s="26" t="n">
        <x:v>-0.0019600312187617987</x:v>
      </x:c>
      <x:c r="AG240" s="26" t="n">
        <x:v>-0.0026200984202898554</x:v>
      </x:c>
      <x:c r="AH240" s="26" t="n">
        <x:v>2062</x:v>
      </x:c>
      <x:c r="AI240" s="26"/>
      <x:c r="AJ240" s="26" t="str">
        <x:v>추가 실험 필요</x:v>
      </x:c>
      <x:c r="AK240" s="27" t="str">
        <x:v>평균 효과 방향은 모두 양수이나 표본 또는 신뢰구간 기준을 통과하지 못함</x:v>
      </x:c>
    </x:row>
    <x:row r="241">
      <x:c r="A241" s="25" t="str">
        <x:v>PASTRY</x:v>
      </x:c>
      <x:c r="B241" s="26" t="str">
        <x:v>SWEET GOODS &amp; SNACKS</x:v>
      </x:c>
      <x:c r="C241" s="26" t="n">
        <x:v>23</x:v>
      </x:c>
      <x:c r="D241" s="26" t="n">
        <x:v>175</x:v>
      </x:c>
      <x:c r="E241" s="26" t="n">
        <x:v>221</x:v>
      </x:c>
      <x:c r="F241" s="26" t="n">
        <x:v>0.020531400966183576</x:v>
      </x:c>
      <x:c r="G241" s="26" t="n">
        <x:v>-0.010880498755281076</x:v>
      </x:c>
      <x:c r="H241" s="26" t="n">
        <x:v>0.05194330068764823</x:v>
      </x:c>
      <x:c r="I241" s="26" t="n">
        <x:v>0.10008060710761967</x:v>
      </x:c>
      <x:c r="J241" s="26" t="n">
        <x:v>0.08733695330434783</x:v>
      </x:c>
      <x:c r="K241" s="26" t="n">
        <x:v>-0.0579390320717192</x:v>
      </x:c>
      <x:c r="L241" s="26" t="n">
        <x:v>0.23261293868041488</x:v>
      </x:c>
      <x:c r="M241" s="26" t="n">
        <x:v>0.11933613430126988</x:v>
      </x:c>
      <x:c r="N241" s="26" t="n">
        <x:v>0.08695652173913043</x:v>
      </x:c>
      <x:c r="O241" s="26" t="n">
        <x:v>0.08695652173913043</x:v>
      </x:c>
      <x:c r="P241" s="26" t="n">
        <x:v>16</x:v>
      </x:c>
      <x:c r="Q241" s="26" t="n">
        <x:v>207</x:v>
      </x:c>
      <x:c r="R241" s="26" t="n">
        <x:v>294</x:v>
      </x:c>
      <x:c r="S241" s="26" t="n">
        <x:v>-0.0031614023297491054</x:v>
      </x:c>
      <x:c r="T241" s="26" t="n">
        <x:v>-0.025928565854391752</x:v>
      </x:c>
      <x:c r="U241" s="26" t="n">
        <x:v>0.019605761194893545</x:v>
      </x:c>
      <x:c r="V241" s="26" t="n">
        <x:v>0.60725113219861</x:v>
      </x:c>
      <x:c r="W241" s="26" t="n">
        <x:v>-0.003051075625</x:v>
      </x:c>
      <x:c r="X241" s="26" t="n">
        <x:v>-0.0770099834690867</x:v>
      </x:c>
      <x:c r="Y241" s="26" t="n">
        <x:v>0.07090783221908671</x:v>
      </x:c>
      <x:c r="Z241" s="26" t="n">
        <x:v>0.5322222304050538</x:v>
      </x:c>
      <x:c r="AA241" s="26" t="n">
        <x:v>0.125</x:v>
      </x:c>
      <x:c r="AB241" s="26" t="n">
        <x:v>0.125</x:v>
      </x:c>
      <x:c r="AC241" s="39" t="b">
        <x:v>1</x:v>
      </x:c>
      <x:c r="AD241" s="39" t="b">
        <x:v>1</x:v>
      </x:c>
      <x:c r="AE241" s="39" t="b">
        <x:v>0</x:v>
      </x:c>
      <x:c r="AF241" s="26" t="n">
        <x:v>-0.0031614023297491054</x:v>
      </x:c>
      <x:c r="AG241" s="26" t="n">
        <x:v>-0.003051075625</x:v>
      </x:c>
      <x:c r="AH241" s="26" t="n">
        <x:v>221</x:v>
      </x:c>
      <x:c r="AI241" s="26"/>
      <x:c r="AJ241" s="26" t="str">
        <x:v>추가 실험 필요</x:v>
      </x:c>
      <x:c r="AK241" s="27" t="str">
        <x:v>평균 효과 방향은 모두 양수이나 표본 또는 신뢰구간 기준을 통과하지 못함</x:v>
      </x:c>
    </x:row>
    <x:row r="242">
      <x:c r="A242" s="25" t="str">
        <x:v>GROCERY</x:v>
      </x:c>
      <x:c r="B242" s="26" t="str">
        <x:v>SALD DRSNG/SNDWCH SPRD</x:v>
      </x:c>
      <x:c r="C242" s="26" t="n">
        <x:v>278</x:v>
      </x:c>
      <x:c r="D242" s="26" t="n">
        <x:v>9373</x:v>
      </x:c>
      <x:c r="E242" s="26" t="n">
        <x:v>41511</x:v>
      </x:c>
      <x:c r="F242" s="26" t="n">
        <x:v>-0.0005888586253690446</x:v>
      </x:c>
      <x:c r="G242" s="26" t="n">
        <x:v>-0.008324194481797435</x:v>
      </x:c>
      <x:c r="H242" s="26" t="n">
        <x:v>0.007146477231059347</x:v>
      </x:c>
      <x:c r="I242" s="26" t="n">
        <x:v>0.5593046807556376</x:v>
      </x:c>
      <x:c r="J242" s="26" t="n">
        <x:v>-0.0031829650187050365</x:v>
      </x:c>
      <x:c r="K242" s="26" t="n">
        <x:v>-0.02199694169364686</x:v>
      </x:c>
      <x:c r="L242" s="26" t="n">
        <x:v>0.015631011656236787</x:v>
      </x:c>
      <x:c r="M242" s="26" t="n">
        <x:v>0.6299022683841488</x:v>
      </x:c>
      <x:c r="N242" s="26" t="n">
        <x:v>0.14388489208633093</x:v>
      </x:c>
      <x:c r="O242" s="26" t="n">
        <x:v>0.15467625899280577</x:v>
      </x:c>
      <x:c r="P242" s="26" t="n">
        <x:v>212</x:v>
      </x:c>
      <x:c r="Q242" s="26" t="n">
        <x:v>7698</x:v>
      </x:c>
      <x:c r="R242" s="26" t="n">
        <x:v>16682</x:v>
      </x:c>
      <x:c r="S242" s="26" t="n">
        <x:v>0.0014223589780081659</x:v>
      </x:c>
      <x:c r="T242" s="26" t="n">
        <x:v>-0.0014794411789742668</x:v>
      </x:c>
      <x:c r="U242" s="26" t="n">
        <x:v>0.004324159134990599</x:v>
      </x:c>
      <x:c r="V242" s="26" t="n">
        <x:v>0.16834595319341383</x:v>
      </x:c>
      <x:c r="W242" s="26" t="n">
        <x:v>0.004212154609905661</x:v>
      </x:c>
      <x:c r="X242" s="26" t="n">
        <x:v>-0.0032610954210773417</x:v>
      </x:c>
      <x:c r="Y242" s="26" t="n">
        <x:v>0.011685404640888663</x:v>
      </x:c>
      <x:c r="Z242" s="26" t="n">
        <x:v>0.13464121364688655</x:v>
      </x:c>
      <x:c r="AA242" s="26" t="n">
        <x:v>0.11320754716981132</x:v>
      </x:c>
      <x:c r="AB242" s="26" t="n">
        <x:v>0.10849056603773585</x:v>
      </x:c>
      <x:c r="AC242" s="39" t="b">
        <x:v>1</x:v>
      </x:c>
      <x:c r="AD242" s="39" t="b">
        <x:v>1</x:v>
      </x:c>
      <x:c r="AE242" s="39" t="b">
        <x:v>0</x:v>
      </x:c>
      <x:c r="AF242" s="26" t="n">
        <x:v>-0.0005888586253690446</x:v>
      </x:c>
      <x:c r="AG242" s="26" t="n">
        <x:v>-0.0031829650187050365</x:v>
      </x:c>
      <x:c r="AH242" s="26" t="n">
        <x:v>16682</x:v>
      </x:c>
      <x:c r="AI242" s="26"/>
      <x:c r="AJ242" s="26" t="str">
        <x:v>추가 실험 필요</x:v>
      </x:c>
      <x:c r="AK242" s="27" t="str">
        <x:v>평균 효과 방향은 모두 양수이나 표본 또는 신뢰구간 기준을 통과하지 못함</x:v>
      </x:c>
    </x:row>
    <x:row r="243">
      <x:c r="A243" s="25" t="str">
        <x:v>PRODUCE</x:v>
      </x:c>
      <x:c r="B243" s="26" t="str">
        <x:v>SALAD MIX</x:v>
      </x:c>
      <x:c r="C243" s="26" t="n">
        <x:v>92</x:v>
      </x:c>
      <x:c r="D243" s="26" t="n">
        <x:v>322</x:v>
      </x:c>
      <x:c r="E243" s="26" t="n">
        <x:v>564</x:v>
      </x:c>
      <x:c r="F243" s="26" t="n">
        <x:v>0.024637681159420288</x:v>
      </x:c>
      <x:c r="G243" s="26" t="n">
        <x:v>-0.0032899005231854968</x:v>
      </x:c>
      <x:c r="H243" s="26" t="n">
        <x:v>0.052565262842026075</x:v>
      </x:c>
      <x:c r="I243" s="26" t="n">
        <x:v>0.04189472310831025</x:v>
      </x:c>
      <x:c r="J243" s="26" t="n">
        <x:v>0.05742391282608696</x:v>
      </x:c>
      <x:c r="K243" s="26" t="n">
        <x:v>-0.007142125809882598</x:v>
      </x:c>
      <x:c r="L243" s="26" t="n">
        <x:v>0.12198995146205652</x:v>
      </x:c>
      <x:c r="M243" s="26" t="n">
        <x:v>0.04065022089915499</x:v>
      </x:c>
      <x:c r="N243" s="26" t="n">
        <x:v>0.08695652173913043</x:v>
      </x:c>
      <x:c r="O243" s="26" t="n">
        <x:v>0.08695652173913043</x:v>
      </x:c>
      <x:c r="P243" s="26" t="n">
        <x:v>54</x:v>
      </x:c>
      <x:c r="Q243" s="26" t="n">
        <x:v>315</x:v>
      </x:c>
      <x:c r="R243" s="26" t="n">
        <x:v>1764</x:v>
      </x:c>
      <x:c r="S243" s="26" t="n">
        <x:v>-0.001825624078710498</x:v>
      </x:c>
      <x:c r="T243" s="26" t="n">
        <x:v>-0.014016027964633927</x:v>
      </x:c>
      <x:c r="U243" s="26" t="n">
        <x:v>0.010364779807212931</x:v>
      </x:c>
      <x:c r="V243" s="26" t="n">
        <x:v>0.6154406471014204</x:v>
      </x:c>
      <x:c r="W243" s="26" t="n">
        <x:v>-0.004451514777777778</x:v>
      </x:c>
      <x:c r="X243" s="26" t="n">
        <x:v>-0.03423900018276299</x:v>
      </x:c>
      <x:c r="Y243" s="26" t="n">
        <x:v>0.02533597062720743</x:v>
      </x:c>
      <x:c r="Z243" s="26" t="n">
        <x:v>0.6152034575977643</x:v>
      </x:c>
      <x:c r="AA243" s="26" t="n">
        <x:v>0.037037037037037035</x:v>
      </x:c>
      <x:c r="AB243" s="26" t="n">
        <x:v>0.05555555555555555</x:v>
      </x:c>
      <x:c r="AC243" s="39" t="b">
        <x:v>1</x:v>
      </x:c>
      <x:c r="AD243" s="39" t="b">
        <x:v>1</x:v>
      </x:c>
      <x:c r="AE243" s="39" t="b">
        <x:v>0</x:v>
      </x:c>
      <x:c r="AF243" s="26" t="n">
        <x:v>-0.001825624078710498</x:v>
      </x:c>
      <x:c r="AG243" s="26" t="n">
        <x:v>-0.004451514777777778</x:v>
      </x:c>
      <x:c r="AH243" s="26" t="n">
        <x:v>564</x:v>
      </x:c>
      <x:c r="AI243" s="26"/>
      <x:c r="AJ243" s="26" t="str">
        <x:v>추가 실험 필요</x:v>
      </x:c>
      <x:c r="AK243" s="27" t="str">
        <x:v>평균 효과 방향은 모두 양수이나 표본 또는 신뢰구간 기준을 통과하지 못함</x:v>
      </x:c>
    </x:row>
    <x:row r="244">
      <x:c r="A244" s="25" t="str">
        <x:v>DRUG GM</x:v>
      </x:c>
      <x:c r="B244" s="26" t="str">
        <x:v>DEODORANTS</x:v>
      </x:c>
      <x:c r="C244" s="26" t="n">
        <x:v>278</x:v>
      </x:c>
      <x:c r="D244" s="26" t="n">
        <x:v>4410</x:v>
      </x:c>
      <x:c r="E244" s="26" t="n">
        <x:v>7542</x:v>
      </x:c>
      <x:c r="F244" s="26" t="n">
        <x:v>-0.0016862758565996483</x:v>
      </x:c>
      <x:c r="G244" s="26" t="n">
        <x:v>-0.005538849749830179</x:v>
      </x:c>
      <x:c r="H244" s="26" t="n">
        <x:v>0.002166298036630882</x:v>
      </x:c>
      <x:c r="I244" s="26" t="n">
        <x:v>0.804524547870796</x:v>
      </x:c>
      <x:c r="J244" s="26" t="n">
        <x:v>-0.004560139043093526</x:v>
      </x:c>
      <x:c r="K244" s="26" t="n">
        <x:v>-0.01513961456146205</x:v>
      </x:c>
      <x:c r="L244" s="26" t="n">
        <x:v>0.006019336475274999</x:v>
      </x:c>
      <x:c r="M244" s="26" t="n">
        <x:v>0.8008974943042049</x:v>
      </x:c>
      <x:c r="N244" s="26" t="n">
        <x:v>0.06115107913669065</x:v>
      </x:c>
      <x:c r="O244" s="26" t="n">
        <x:v>0.06474820143884892</x:v>
      </x:c>
      <x:c r="P244" s="26" t="n">
        <x:v>115</x:v>
      </x:c>
      <x:c r="Q244" s="26" t="n">
        <x:v>2222</x:v>
      </x:c>
      <x:c r="R244" s="26" t="n">
        <x:v>3030</x:v>
      </x:c>
      <x:c r="S244" s="26" t="n">
        <x:v>0.0024883610767161063</x:v>
      </x:c>
      <x:c r="T244" s="26" t="n">
        <x:v>-0.00044924977742540756</x:v>
      </x:c>
      <x:c r="U244" s="26" t="n">
        <x:v>0.00542597193085762</x:v>
      </x:c>
      <x:c r="V244" s="26" t="n">
        <x:v>0.04843142467094931</x:v>
      </x:c>
      <x:c r="W244" s="26" t="n">
        <x:v>0.005595953113043478</x:v>
      </x:c>
      <x:c r="X244" s="26" t="n">
        <x:v>-0.0014826356497215035</x:v>
      </x:c>
      <x:c r="Y244" s="26" t="n">
        <x:v>0.01267454187580846</x:v>
      </x:c>
      <x:c r="Z244" s="26" t="n">
        <x:v>0.06063426722124478</x:v>
      </x:c>
      <x:c r="AA244" s="26" t="n">
        <x:v>0.10434782608695652</x:v>
      </x:c>
      <x:c r="AB244" s="26" t="n">
        <x:v>0.10434782608695652</x:v>
      </x:c>
      <x:c r="AC244" s="39" t="b">
        <x:v>1</x:v>
      </x:c>
      <x:c r="AD244" s="39" t="b">
        <x:v>1</x:v>
      </x:c>
      <x:c r="AE244" s="39" t="b">
        <x:v>0</x:v>
      </x:c>
      <x:c r="AF244" s="26" t="n">
        <x:v>-0.0016862758565996483</x:v>
      </x:c>
      <x:c r="AG244" s="26" t="n">
        <x:v>-0.004560139043093526</x:v>
      </x:c>
      <x:c r="AH244" s="26" t="n">
        <x:v>3030</x:v>
      </x:c>
      <x:c r="AI244" s="26"/>
      <x:c r="AJ244" s="26" t="str">
        <x:v>추가 실험 필요</x:v>
      </x:c>
      <x:c r="AK244" s="27" t="str">
        <x:v>평균 효과 방향은 모두 양수이나 표본 또는 신뢰구간 기준을 통과하지 못함</x:v>
      </x:c>
    </x:row>
    <x:row r="245">
      <x:c r="A245" s="25" t="str">
        <x:v>GROCERY</x:v>
      </x:c>
      <x:c r="B245" s="26" t="str">
        <x:v>FRZN NOVELTIES/WTR ICE</x:v>
      </x:c>
      <x:c r="C245" s="26" t="n">
        <x:v>258</x:v>
      </x:c>
      <x:c r="D245" s="26" t="n">
        <x:v>8318</x:v>
      </x:c>
      <x:c r="E245" s="26" t="n">
        <x:v>19119</x:v>
      </x:c>
      <x:c r="F245" s="26" t="n">
        <x:v>0.0015528696771292972</x:v>
      </x:c>
      <x:c r="G245" s="26" t="n">
        <x:v>-0.00417196292299952</x:v>
      </x:c>
      <x:c r="H245" s="26" t="n">
        <x:v>0.0072777022772581145</x:v>
      </x:c>
      <x:c r="I245" s="26" t="n">
        <x:v>0.29748316633736804</x:v>
      </x:c>
      <x:c r="J245" s="26" t="n">
        <x:v>-0.00476219235835737</x:v>
      </x:c>
      <x:c r="K245" s="26" t="n">
        <x:v>-0.023160792649211077</x:v>
      </x:c>
      <x:c r="L245" s="26" t="n">
        <x:v>0.013636407932496337</x:v>
      </x:c>
      <x:c r="M245" s="26" t="n">
        <x:v>0.6940333042097464</x:v>
      </x:c>
      <x:c r="N245" s="26" t="n">
        <x:v>0.18604651162790697</x:v>
      </x:c>
      <x:c r="O245" s="26" t="n">
        <x:v>0.18604651162790697</x:v>
      </x:c>
      <x:c r="P245" s="26" t="n">
        <x:v>196</x:v>
      </x:c>
      <x:c r="Q245" s="26" t="n">
        <x:v>6057</x:v>
      </x:c>
      <x:c r="R245" s="26" t="n">
        <x:v>8620</x:v>
      </x:c>
      <x:c r="S245" s="26" t="n">
        <x:v>0.0036849949200683427</x:v>
      </x:c>
      <x:c r="T245" s="26" t="n">
        <x:v>-0.0017412884209450827</x:v>
      </x:c>
      <x:c r="U245" s="26" t="n">
        <x:v>0.009111278261081768</x:v>
      </x:c>
      <x:c r="V245" s="26" t="n">
        <x:v>0.09158823207981073</x:v>
      </x:c>
      <x:c r="W245" s="26" t="n">
        <x:v>0.006452179788775511</x:v>
      </x:c>
      <x:c r="X245" s="26" t="n">
        <x:v>-0.007862700987995897</x:v>
      </x:c>
      <x:c r="Y245" s="26" t="n">
        <x:v>0.02076706056554692</x:v>
      </x:c>
      <x:c r="Z245" s="26" t="n">
        <x:v>0.18850053639407707</x:v>
      </x:c>
      <x:c r="AA245" s="26" t="n">
        <x:v>0.19387755102040816</x:v>
      </x:c>
      <x:c r="AB245" s="26" t="n">
        <x:v>0.17857142857142858</x:v>
      </x:c>
      <x:c r="AC245" s="39" t="b">
        <x:v>1</x:v>
      </x:c>
      <x:c r="AD245" s="39" t="b">
        <x:v>1</x:v>
      </x:c>
      <x:c r="AE245" s="39" t="b">
        <x:v>0</x:v>
      </x:c>
      <x:c r="AF245" s="26" t="n">
        <x:v>0.0015528696771292972</x:v>
      </x:c>
      <x:c r="AG245" s="26" t="n">
        <x:v>-0.00476219235835737</x:v>
      </x:c>
      <x:c r="AH245" s="26" t="n">
        <x:v>8620</x:v>
      </x:c>
      <x:c r="AI245" s="26"/>
      <x:c r="AJ245" s="26" t="str">
        <x:v>추가 실험 필요</x:v>
      </x:c>
      <x:c r="AK245" s="27" t="str">
        <x:v>평균 효과 방향은 모두 양수이나 표본 또는 신뢰구간 기준을 통과하지 못함</x:v>
      </x:c>
    </x:row>
    <x:row r="246">
      <x:c r="A246" s="25" t="str">
        <x:v>COSMETICS</x:v>
      </x:c>
      <x:c r="B246" s="26" t="str">
        <x:v>MAKEUP AND TREATMENT</x:v>
      </x:c>
      <x:c r="C246" s="26" t="n">
        <x:v>288</x:v>
      </x:c>
      <x:c r="D246" s="26" t="n">
        <x:v>1213</x:v>
      </x:c>
      <x:c r="E246" s="26" t="n">
        <x:v>1770</x:v>
      </x:c>
      <x:c r="F246" s="26" t="n">
        <x:v>-0.0005396850448933789</x:v>
      </x:c>
      <x:c r="G246" s="26" t="n">
        <x:v>-0.002299656803127576</x:v>
      </x:c>
      <x:c r="H246" s="26" t="n">
        <x:v>0.001220286713340818</x:v>
      </x:c>
      <x:c r="I246" s="26" t="n">
        <x:v>0.7260875115697861</x:v>
      </x:c>
      <x:c r="J246" s="26" t="n">
        <x:v>-0.004784441673611111</x:v>
      </x:c>
      <x:c r="K246" s="26" t="n">
        <x:v>-0.0168422955787177</x:v>
      </x:c>
      <x:c r="L246" s="26" t="n">
        <x:v>0.007273412231495476</x:v>
      </x:c>
      <x:c r="M246" s="26" t="n">
        <x:v>0.7816298095321471</x:v>
      </x:c>
      <x:c r="N246" s="26" t="n">
        <x:v>0.010416666666666666</x:v>
      </x:c>
      <x:c r="O246" s="26" t="n">
        <x:v>0.010416666666666666</x:v>
      </x:c>
      <x:c r="P246" s="26" t="n">
        <x:v>166</x:v>
      </x:c>
      <x:c r="Q246" s="26" t="n">
        <x:v>627</x:v>
      </x:c>
      <x:c r="R246" s="26" t="n">
        <x:v>739</x:v>
      </x:c>
      <x:c r="S246" s="26" t="n">
        <x:v>0.007584734542565869</x:v>
      </x:c>
      <x:c r="T246" s="26" t="n">
        <x:v>-0.004485034234478443</x:v>
      </x:c>
      <x:c r="U246" s="26" t="n">
        <x:v>0.019654503319610182</x:v>
      </x:c>
      <x:c r="V246" s="26" t="n">
        <x:v>0.10903452470348488</x:v>
      </x:c>
      <x:c r="W246" s="26" t="n">
        <x:v>0.027112438674698796</x:v>
      </x:c>
      <x:c r="X246" s="26" t="n">
        <x:v>-0.01605323007863409</x:v>
      </x:c>
      <x:c r="Y246" s="26" t="n">
        <x:v>0.07027810742803169</x:v>
      </x:c>
      <x:c r="Z246" s="26" t="n">
        <x:v>0.10914652308839787</x:v>
      </x:c>
      <x:c r="AA246" s="26" t="n">
        <x:v>0.024096385542168676</x:v>
      </x:c>
      <x:c r="AB246" s="26" t="n">
        <x:v>0.024096385542168676</x:v>
      </x:c>
      <x:c r="AC246" s="39" t="b">
        <x:v>1</x:v>
      </x:c>
      <x:c r="AD246" s="39" t="b">
        <x:v>1</x:v>
      </x:c>
      <x:c r="AE246" s="39" t="b">
        <x:v>0</x:v>
      </x:c>
      <x:c r="AF246" s="26" t="n">
        <x:v>-0.0005396850448933789</x:v>
      </x:c>
      <x:c r="AG246" s="26" t="n">
        <x:v>-0.004784441673611111</x:v>
      </x:c>
      <x:c r="AH246" s="26" t="n">
        <x:v>739</x:v>
      </x:c>
      <x:c r="AI246" s="26"/>
      <x:c r="AJ246" s="26" t="str">
        <x:v>추가 실험 필요</x:v>
      </x:c>
      <x:c r="AK246" s="27" t="str">
        <x:v>평균 효과 방향은 모두 양수이나 표본 또는 신뢰구간 기준을 통과하지 못함</x:v>
      </x:c>
    </x:row>
    <x:row r="247">
      <x:c r="A247" s="25" t="str">
        <x:v>GROCERY</x:v>
      </x:c>
      <x:c r="B247" s="26" t="str">
        <x:v>FRZN VEGETABLE/VEG DSH</x:v>
      </x:c>
      <x:c r="C247" s="26" t="n">
        <x:v>316</x:v>
      </x:c>
      <x:c r="D247" s="26" t="n">
        <x:v>7804</x:v>
      </x:c>
      <x:c r="E247" s="26" t="n">
        <x:v>35186</x:v>
      </x:c>
      <x:c r="F247" s="26" t="n">
        <x:v>0.0028483290129539666</x:v>
      </x:c>
      <x:c r="G247" s="26" t="n">
        <x:v>-0.002964598888404024</x:v>
      </x:c>
      <x:c r="H247" s="26" t="n">
        <x:v>0.008661256914311957</x:v>
      </x:c>
      <x:c r="I247" s="26" t="n">
        <x:v>0.16842744901070705</x:v>
      </x:c>
      <x:c r="J247" s="26" t="n">
        <x:v>-0.006047164595411397</x:v>
      </x:c>
      <x:c r="K247" s="26" t="n">
        <x:v>-0.03506348157210741</x:v>
      </x:c>
      <x:c r="L247" s="26" t="n">
        <x:v>0.022969152381284618</x:v>
      </x:c>
      <x:c r="M247" s="26" t="n">
        <x:v>0.6585375415084928</x:v>
      </x:c>
      <x:c r="N247" s="26" t="n">
        <x:v>0.17088607594936708</x:v>
      </x:c>
      <x:c r="O247" s="26" t="n">
        <x:v>0.16772151898734178</x:v>
      </x:c>
      <x:c r="P247" s="26" t="n">
        <x:v>267</x:v>
      </x:c>
      <x:c r="Q247" s="26" t="n">
        <x:v>14390</x:v>
      </x:c>
      <x:c r="R247" s="26" t="n">
        <x:v>58116</x:v>
      </x:c>
      <x:c r="S247" s="26" t="n">
        <x:v>0.01240596392950378</x:v>
      </x:c>
      <x:c r="T247" s="26" t="n">
        <x:v>0.0038646794101560127</x:v>
      </x:c>
      <x:c r="U247" s="26" t="n">
        <x:v>0.020947248448851548</x:v>
      </x:c>
      <x:c r="V247" s="26" t="n">
        <x:v>0.0022077621216329817</x:v>
      </x:c>
      <x:c r="W247" s="26" t="n">
        <x:v>0.030592973482771537</x:v>
      </x:c>
      <x:c r="X247" s="26" t="n">
        <x:v>0.004999800251407522</x:v>
      </x:c>
      <x:c r="Y247" s="26" t="n">
        <x:v>0.05618614671413555</x:v>
      </x:c>
      <x:c r="Z247" s="26" t="n">
        <x:v>0.009567273005532685</x:v>
      </x:c>
      <x:c r="AA247" s="26" t="n">
        <x:v>0.250936329588015</x:v>
      </x:c>
      <x:c r="AB247" s="26" t="n">
        <x:v>0.24344569288389514</x:v>
      </x:c>
      <x:c r="AC247" s="39" t="b">
        <x:v>1</x:v>
      </x:c>
      <x:c r="AD247" s="39" t="b">
        <x:v>1</x:v>
      </x:c>
      <x:c r="AE247" s="39" t="b">
        <x:v>0</x:v>
      </x:c>
      <x:c r="AF247" s="26" t="n">
        <x:v>0.0028483290129539666</x:v>
      </x:c>
      <x:c r="AG247" s="26" t="n">
        <x:v>-0.006047164595411397</x:v>
      </x:c>
      <x:c r="AH247" s="26" t="n">
        <x:v>35186</x:v>
      </x:c>
      <x:c r="AI247" s="26"/>
      <x:c r="AJ247" s="26" t="str">
        <x:v>추가 실험 필요</x:v>
      </x:c>
      <x:c r="AK247" s="27" t="str">
        <x:v>평균 효과 방향은 모두 양수이나 표본 또는 신뢰구간 기준을 통과하지 못함</x:v>
      </x:c>
    </x:row>
    <x:row r="248">
      <x:c r="A248" s="25" t="str">
        <x:v>GROCERY</x:v>
      </x:c>
      <x:c r="B248" s="26" t="str">
        <x:v>FRZN BREAKFAST FOODS</x:v>
      </x:c>
      <x:c r="C248" s="26" t="n">
        <x:v>167</x:v>
      </x:c>
      <x:c r="D248" s="26" t="n">
        <x:v>4734</x:v>
      </x:c>
      <x:c r="E248" s="26" t="n">
        <x:v>12062</x:v>
      </x:c>
      <x:c r="F248" s="26" t="n">
        <x:v>0.0010630576664986612</x:v>
      </x:c>
      <x:c r="G248" s="26" t="n">
        <x:v>-0.006291482400047117</x:v>
      </x:c>
      <x:c r="H248" s="26" t="n">
        <x:v>0.00841759773304444</x:v>
      </x:c>
      <x:c r="I248" s="26" t="n">
        <x:v>0.3884707379847837</x:v>
      </x:c>
      <x:c r="J248" s="26" t="n">
        <x:v>-0.00726138689168503</x:v>
      </x:c>
      <x:c r="K248" s="26" t="n">
        <x:v>-0.03218442432011658</x:v>
      </x:c>
      <x:c r="L248" s="26" t="n">
        <x:v>0.017661650536746523</x:v>
      </x:c>
      <x:c r="M248" s="26" t="n">
        <x:v>0.7160173667234273</x:v>
      </x:c>
      <x:c r="N248" s="26" t="n">
        <x:v>0.2155688622754491</x:v>
      </x:c>
      <x:c r="O248" s="26" t="n">
        <x:v>0.20958083832335328</x:v>
      </x:c>
      <x:c r="P248" s="26" t="n">
        <x:v>142</x:v>
      </x:c>
      <x:c r="Q248" s="26" t="n">
        <x:v>6057</x:v>
      </x:c>
      <x:c r="R248" s="26" t="n">
        <x:v>12705</x:v>
      </x:c>
      <x:c r="S248" s="26" t="n">
        <x:v>0.0055658170305738</x:v>
      </x:c>
      <x:c r="T248" s="26" t="n">
        <x:v>0.0007671313971083314</x:v>
      </x:c>
      <x:c r="U248" s="26" t="n">
        <x:v>0.01036450266403927</x:v>
      </x:c>
      <x:c r="V248" s="26" t="n">
        <x:v>0.01150311680569655</x:v>
      </x:c>
      <x:c r="W248" s="26" t="n">
        <x:v>0.00919169025915493</x:v>
      </x:c>
      <x:c r="X248" s="26" t="n">
        <x:v>-0.0027218061176957943</x:v>
      </x:c>
      <x:c r="Y248" s="26" t="n">
        <x:v>0.021105186636005656</x:v>
      </x:c>
      <x:c r="Z248" s="26" t="n">
        <x:v>0.06524017535143109</x:v>
      </x:c>
      <x:c r="AA248" s="26" t="n">
        <x:v>0.28169014084507044</x:v>
      </x:c>
      <x:c r="AB248" s="26" t="n">
        <x:v>0.2887323943661972</x:v>
      </x:c>
      <x:c r="AC248" s="39" t="b">
        <x:v>1</x:v>
      </x:c>
      <x:c r="AD248" s="39" t="b">
        <x:v>1</x:v>
      </x:c>
      <x:c r="AE248" s="39" t="b">
        <x:v>0</x:v>
      </x:c>
      <x:c r="AF248" s="26" t="n">
        <x:v>0.0010630576664986612</x:v>
      </x:c>
      <x:c r="AG248" s="26" t="n">
        <x:v>-0.00726138689168503</x:v>
      </x:c>
      <x:c r="AH248" s="26" t="n">
        <x:v>12062</x:v>
      </x:c>
      <x:c r="AI248" s="26"/>
      <x:c r="AJ248" s="26" t="str">
        <x:v>추가 실험 필요</x:v>
      </x:c>
      <x:c r="AK248" s="27" t="str">
        <x:v>평균 효과 방향은 모두 양수이나 표본 또는 신뢰구간 기준을 통과하지 못함</x:v>
      </x:c>
    </x:row>
    <x:row r="249">
      <x:c r="A249" s="25" t="str">
        <x:v>GROCERY</x:v>
      </x:c>
      <x:c r="B249" s="26" t="str">
        <x:v>BAKING MIXES</x:v>
      </x:c>
      <x:c r="C249" s="26" t="n">
        <x:v>216</x:v>
      </x:c>
      <x:c r="D249" s="26" t="n">
        <x:v>4354</x:v>
      </x:c>
      <x:c r="E249" s="26" t="n">
        <x:v>9208</x:v>
      </x:c>
      <x:c r="F249" s="26" t="n">
        <x:v>0.006779625862691664</x:v>
      </x:c>
      <x:c r="G249" s="26" t="n">
        <x:v>-0.0036883586021542094</x:v>
      </x:c>
      <x:c r="H249" s="26" t="n">
        <x:v>0.017247610327537535</x:v>
      </x:c>
      <x:c r="I249" s="26" t="n">
        <x:v>0.10214909531084619</x:v>
      </x:c>
      <x:c r="J249" s="26" t="n">
        <x:v>0.0036234977032407406</x:v>
      </x:c>
      <x:c r="K249" s="26" t="n">
        <x:v>-0.006861222052642161</x:v>
      </x:c>
      <x:c r="L249" s="26" t="n">
        <x:v>0.014108217459123641</x:v>
      </x:c>
      <x:c r="M249" s="26" t="n">
        <x:v>0.24908498230013226</x:v>
      </x:c>
      <x:c r="N249" s="26" t="n">
        <x:v>0.1111111111111111</x:v>
      </x:c>
      <x:c r="O249" s="26" t="n">
        <x:v>0.11574074074074074</x:v>
      </x:c>
      <x:c r="P249" s="26" t="n">
        <x:v>132</x:v>
      </x:c>
      <x:c r="Q249" s="26" t="n">
        <x:v>3134</x:v>
      </x:c>
      <x:c r="R249" s="26" t="n">
        <x:v>4366</x:v>
      </x:c>
      <x:c r="S249" s="26" t="n">
        <x:v>0.000637300771684383</x:v>
      </x:c>
      <x:c r="T249" s="26" t="n">
        <x:v>-0.008613832692761916</x:v>
      </x:c>
      <x:c r="U249" s="26" t="n">
        <x:v>0.009888434236130682</x:v>
      </x:c>
      <x:c r="V249" s="26" t="n">
        <x:v>0.4462971131538525</x:v>
      </x:c>
      <x:c r="W249" s="26" t="n">
        <x:v>-0.010661348757575757</x:v>
      </x:c>
      <x:c r="X249" s="26" t="n">
        <x:v>-0.03835478616041185</x:v>
      </x:c>
      <x:c r="Y249" s="26" t="n">
        <x:v>0.017032088645260336</x:v>
      </x:c>
      <x:c r="Z249" s="26" t="n">
        <x:v>0.7747422209417799</x:v>
      </x:c>
      <x:c r="AA249" s="26" t="n">
        <x:v>0.15151515151515152</x:v>
      </x:c>
      <x:c r="AB249" s="26" t="n">
        <x:v>0.1893939393939394</x:v>
      </x:c>
      <x:c r="AC249" s="39" t="b">
        <x:v>1</x:v>
      </x:c>
      <x:c r="AD249" s="39" t="b">
        <x:v>1</x:v>
      </x:c>
      <x:c r="AE249" s="39" t="b">
        <x:v>0</x:v>
      </x:c>
      <x:c r="AF249" s="26" t="n">
        <x:v>0.000637300771684383</x:v>
      </x:c>
      <x:c r="AG249" s="26" t="n">
        <x:v>-0.010661348757575757</x:v>
      </x:c>
      <x:c r="AH249" s="26" t="n">
        <x:v>4366</x:v>
      </x:c>
      <x:c r="AI249" s="26"/>
      <x:c r="AJ249" s="26" t="str">
        <x:v>추가 실험 필요</x:v>
      </x:c>
      <x:c r="AK249" s="27" t="str">
        <x:v>평균 효과 방향은 모두 양수이나 표본 또는 신뢰구간 기준을 통과하지 못함</x:v>
      </x:c>
    </x:row>
    <x:row r="250">
      <x:c r="A250" s="25" t="str">
        <x:v>GROCERY</x:v>
      </x:c>
      <x:c r="B250" s="26" t="str">
        <x:v>FLUID MILK PRODUCTS</x:v>
      </x:c>
      <x:c r="C250" s="26" t="n">
        <x:v>120</x:v>
      </x:c>
      <x:c r="D250" s="26" t="n">
        <x:v>2172</x:v>
      </x:c>
      <x:c r="E250" s="26" t="n">
        <x:v>17329</x:v>
      </x:c>
      <x:c r="F250" s="26" t="n">
        <x:v>0.019292750325517128</x:v>
      </x:c>
      <x:c r="G250" s="26" t="n">
        <x:v>0.007053305061333623</x:v>
      </x:c>
      <x:c r="H250" s="26" t="n">
        <x:v>0.031532195589700635</x:v>
      </x:c>
      <x:c r="I250" s="26" t="n">
        <x:v>0.0010024617790290048</x:v>
      </x:c>
      <x:c r="J250" s="26" t="n">
        <x:v>0.06191964249166667</x:v>
      </x:c>
      <x:c r="K250" s="26" t="n">
        <x:v>0.016432567913070996</x:v>
      </x:c>
      <x:c r="L250" s="26" t="n">
        <x:v>0.10740671707026234</x:v>
      </x:c>
      <x:c r="M250" s="26" t="n">
        <x:v>0.003814467958436278</x:v>
      </x:c>
      <x:c r="N250" s="26" t="n">
        <x:v>0.11666666666666667</x:v>
      </x:c>
      <x:c r="O250" s="26" t="n">
        <x:v>0.11666666666666667</x:v>
      </x:c>
      <x:c r="P250" s="26" t="n">
        <x:v>108</x:v>
      </x:c>
      <x:c r="Q250" s="26" t="n">
        <x:v>2632</x:v>
      </x:c>
      <x:c r="R250" s="26" t="n">
        <x:v>9645</x:v>
      </x:c>
      <x:c r="S250" s="26" t="n">
        <x:v>-0.004972313385266619</x:v>
      </x:c>
      <x:c r="T250" s="26" t="n">
        <x:v>-0.013571963108521524</x:v>
      </x:c>
      <x:c r="U250" s="26" t="n">
        <x:v>0.0036273363379882876</x:v>
      </x:c>
      <x:c r="V250" s="26" t="n">
        <x:v>0.8714497813980503</x:v>
      </x:c>
      <x:c r="W250" s="26" t="n">
        <x:v>-0.011529222037037037</x:v>
      </x:c>
      <x:c r="X250" s="26" t="n">
        <x:v>-0.04998354906009754</x:v>
      </x:c>
      <x:c r="Y250" s="26" t="n">
        <x:v>0.026925104986023463</x:v>
      </x:c>
      <x:c r="Z250" s="26" t="n">
        <x:v>0.7216127988694265</x:v>
      </x:c>
      <x:c r="AA250" s="26" t="n">
        <x:v>0.06481481481481481</x:v>
      </x:c>
      <x:c r="AB250" s="26" t="n">
        <x:v>0.07407407407407407</x:v>
      </x:c>
      <x:c r="AC250" s="39" t="b">
        <x:v>1</x:v>
      </x:c>
      <x:c r="AD250" s="39" t="b">
        <x:v>1</x:v>
      </x:c>
      <x:c r="AE250" s="39" t="b">
        <x:v>0</x:v>
      </x:c>
      <x:c r="AF250" s="26" t="n">
        <x:v>-0.004972313385266619</x:v>
      </x:c>
      <x:c r="AG250" s="26" t="n">
        <x:v>-0.011529222037037037</x:v>
      </x:c>
      <x:c r="AH250" s="26" t="n">
        <x:v>9645</x:v>
      </x:c>
      <x:c r="AI250" s="26"/>
      <x:c r="AJ250" s="26" t="str">
        <x:v>추가 실험 필요</x:v>
      </x:c>
      <x:c r="AK250" s="27" t="str">
        <x:v>평균 효과 방향은 모두 양수이나 표본 또는 신뢰구간 기준을 통과하지 못함</x:v>
      </x:c>
    </x:row>
    <x:row r="251">
      <x:c r="A251" s="25" t="str">
        <x:v>GROCERY</x:v>
      </x:c>
      <x:c r="B251" s="26" t="str">
        <x:v>FD WRAPS/BAGS/TRSH BG</x:v>
      </x:c>
      <x:c r="C251" s="26" t="n">
        <x:v>118</x:v>
      </x:c>
      <x:c r="D251" s="26" t="n">
        <x:v>1973</x:v>
      </x:c>
      <x:c r="E251" s="26" t="n">
        <x:v>3259</x:v>
      </x:c>
      <x:c r="F251" s="26" t="n">
        <x:v>0.002344149935887489</x:v>
      </x:c>
      <x:c r="G251" s="26" t="n">
        <x:v>-0.009648745238397993</x:v>
      </x:c>
      <x:c r="H251" s="26" t="n">
        <x:v>0.014337045110172971</x:v>
      </x:c>
      <x:c r="I251" s="26" t="n">
        <x:v>0.3508210870386631</x:v>
      </x:c>
      <x:c r="J251" s="26" t="n">
        <x:v>-0.004827912251694915</x:v>
      </x:c>
      <x:c r="K251" s="26" t="n">
        <x:v>-0.05173328352656929</x:v>
      </x:c>
      <x:c r="L251" s="26" t="n">
        <x:v>0.042077459023179456</x:v>
      </x:c>
      <x:c r="M251" s="26" t="n">
        <x:v>0.5799401584520584</x:v>
      </x:c>
      <x:c r="N251" s="26" t="n">
        <x:v>0.11864406779661017</x:v>
      </x:c>
      <x:c r="O251" s="26" t="n">
        <x:v>0.1016949152542373</x:v>
      </x:c>
      <x:c r="P251" s="26" t="n">
        <x:v>89</x:v>
      </x:c>
      <x:c r="Q251" s="26" t="n">
        <x:v>1129</x:v>
      </x:c>
      <x:c r="R251" s="26" t="n">
        <x:v>1186</x:v>
      </x:c>
      <x:c r="S251" s="26" t="n">
        <x:v>-0.002482775181046834</x:v>
      </x:c>
      <x:c r="T251" s="26" t="n">
        <x:v>-0.036348026387649925</x:v>
      </x:c>
      <x:c r="U251" s="26" t="n">
        <x:v>0.03138247602555625</x:v>
      </x:c>
      <x:c r="V251" s="26" t="n">
        <x:v>0.5571290146818431</x:v>
      </x:c>
      <x:c r="W251" s="26" t="n">
        <x:v>-0.01917735285393258</x:v>
      </x:c>
      <x:c r="X251" s="26" t="n">
        <x:v>-0.12028046799780406</x:v>
      </x:c>
      <x:c r="Y251" s="26" t="n">
        <x:v>0.08192576228993889</x:v>
      </x:c>
      <x:c r="Z251" s="26" t="n">
        <x:v>0.6449698141613893</x:v>
      </x:c>
      <x:c r="AA251" s="26" t="n">
        <x:v>0.0898876404494382</x:v>
      </x:c>
      <x:c r="AB251" s="26" t="n">
        <x:v>0.10112359550561797</x:v>
      </x:c>
      <x:c r="AC251" s="39" t="b">
        <x:v>1</x:v>
      </x:c>
      <x:c r="AD251" s="39" t="b">
        <x:v>1</x:v>
      </x:c>
      <x:c r="AE251" s="39" t="b">
        <x:v>0</x:v>
      </x:c>
      <x:c r="AF251" s="26" t="n">
        <x:v>-0.002482775181046834</x:v>
      </x:c>
      <x:c r="AG251" s="26" t="n">
        <x:v>-0.01917735285393258</x:v>
      </x:c>
      <x:c r="AH251" s="26" t="n">
        <x:v>1186</x:v>
      </x:c>
      <x:c r="AI251" s="26"/>
      <x:c r="AJ251" s="26" t="str">
        <x:v>추가 실험 필요</x:v>
      </x:c>
      <x:c r="AK251" s="27" t="str">
        <x:v>평균 효과 방향은 모두 양수이나 표본 또는 신뢰구간 기준을 통과하지 못함</x:v>
      </x:c>
    </x:row>
    <x:row r="252">
      <x:c r="A252" s="25" t="str">
        <x:v>GROCERY</x:v>
      </x:c>
      <x:c r="B252" s="26" t="str">
        <x:v>SPICES &amp; EXTRACTS</x:v>
      </x:c>
      <x:c r="C252" s="26" t="n">
        <x:v>157</x:v>
      </x:c>
      <x:c r="D252" s="26" t="n">
        <x:v>3374</x:v>
      </x:c>
      <x:c r="E252" s="26" t="n">
        <x:v>7115</x:v>
      </x:c>
      <x:c r="F252" s="26" t="n">
        <x:v>-0.008881551690333573</x:v>
      </x:c>
      <x:c r="G252" s="26" t="n">
        <x:v>-0.029275613816499672</x:v>
      </x:c>
      <x:c r="H252" s="26" t="n">
        <x:v>0.011512510435832526</x:v>
      </x:c>
      <x:c r="I252" s="26" t="n">
        <x:v>0.803329466909261</x:v>
      </x:c>
      <x:c r="J252" s="26" t="n">
        <x:v>-0.03180131386114649</x:v>
      </x:c>
      <x:c r="K252" s="26" t="n">
        <x:v>-0.09883481471121838</x:v>
      </x:c>
      <x:c r="L252" s="26" t="n">
        <x:v>0.035232186988925406</x:v>
      </x:c>
      <x:c r="M252" s="26" t="n">
        <x:v>0.823773592837971</x:v>
      </x:c>
      <x:c r="N252" s="26" t="n">
        <x:v>0.09554140127388536</x:v>
      </x:c>
      <x:c r="O252" s="26" t="n">
        <x:v>0.10191082802547771</x:v>
      </x:c>
      <x:c r="P252" s="26" t="n">
        <x:v>135</x:v>
      </x:c>
      <x:c r="Q252" s="26" t="n">
        <x:v>2387</x:v>
      </x:c>
      <x:c r="R252" s="26" t="n">
        <x:v>3660</x:v>
      </x:c>
      <x:c r="S252" s="26" t="n">
        <x:v>-0.0005896298878977617</x:v>
      </x:c>
      <x:c r="T252" s="26" t="n">
        <x:v>-0.008837105421343427</x:v>
      </x:c>
      <x:c r="U252" s="26" t="n">
        <x:v>0.007657845645547903</x:v>
      </x:c>
      <x:c r="V252" s="26" t="n">
        <x:v>0.5557192455529298</x:v>
      </x:c>
      <x:c r="W252" s="26" t="n">
        <x:v>0.003584285539259258</x:v>
      </x:c>
      <x:c r="X252" s="26" t="n">
        <x:v>-0.009441549215434946</x:v>
      </x:c>
      <x:c r="Y252" s="26" t="n">
        <x:v>0.01661012029395346</x:v>
      </x:c>
      <x:c r="Z252" s="26" t="n">
        <x:v>0.294830216350135</x:v>
      </x:c>
      <x:c r="AA252" s="26" t="n">
        <x:v>0.08148148148148149</x:v>
      </x:c>
      <x:c r="AB252" s="26" t="n">
        <x:v>0.08888888888888889</x:v>
      </x:c>
      <x:c r="AC252" s="39" t="b">
        <x:v>1</x:v>
      </x:c>
      <x:c r="AD252" s="39" t="b">
        <x:v>1</x:v>
      </x:c>
      <x:c r="AE252" s="39" t="b">
        <x:v>0</x:v>
      </x:c>
      <x:c r="AF252" s="26" t="n">
        <x:v>-0.008881551690333573</x:v>
      </x:c>
      <x:c r="AG252" s="26" t="n">
        <x:v>-0.03180131386114649</x:v>
      </x:c>
      <x:c r="AH252" s="26" t="n">
        <x:v>3660</x:v>
      </x:c>
      <x:c r="AI252" s="26"/>
      <x:c r="AJ252" s="26" t="str">
        <x:v>추가 실험 필요</x:v>
      </x:c>
      <x:c r="AK252" s="27" t="str">
        <x:v>평균 효과 방향은 모두 양수이나 표본 또는 신뢰구간 기준을 통과하지 못함</x:v>
      </x:c>
    </x:row>
    <x:row r="253">
      <x:c r="A253" s="28" t="str">
        <x:v>DRUG GM</x:v>
      </x:c>
      <x:c r="B253" s="29" t="str">
        <x:v>DIETARY AID PRODUCTS</x:v>
      </x:c>
      <x:c r="C253" s="29" t="n">
        <x:v>127</x:v>
      </x:c>
      <x:c r="D253" s="29" t="n">
        <x:v>1476</x:v>
      </x:c>
      <x:c r="E253" s="29" t="n">
        <x:v>1943</x:v>
      </x:c>
      <x:c r="F253" s="29" t="n">
        <x:v>0.004727225737339876</x:v>
      </x:c>
      <x:c r="G253" s="29" t="n">
        <x:v>0.0009269263976883538</x:v>
      </x:c>
      <x:c r="H253" s="29" t="n">
        <x:v>0.008527525076991397</x:v>
      </x:c>
      <x:c r="I253" s="29" t="n">
        <x:v>0.0073831365051911365</x:v>
      </x:c>
      <x:c r="J253" s="29" t="n">
        <x:v>-0.033943657842519695</x:v>
      </x:c>
      <x:c r="K253" s="29" t="n">
        <x:v>-0.14455561727560132</x:v>
      </x:c>
      <x:c r="L253" s="29" t="n">
        <x:v>0.07666830159056193</x:v>
      </x:c>
      <x:c r="M253" s="29" t="n">
        <x:v>0.7262358866396519</x:v>
      </x:c>
      <x:c r="N253" s="29" t="n">
        <x:v>0.07874015748031496</x:v>
      </x:c>
      <x:c r="O253" s="29" t="n">
        <x:v>0.07874015748031496</x:v>
      </x:c>
      <x:c r="P253" s="29" t="n">
        <x:v>29</x:v>
      </x:c>
      <x:c r="Q253" s="29" t="n">
        <x:v>281</x:v>
      </x:c>
      <x:c r="R253" s="29" t="n">
        <x:v>310</x:v>
      </x:c>
      <x:c r="S253" s="29" t="n">
        <x:v>0.0019629795491864447</x:v>
      </x:c>
      <x:c r="T253" s="29" t="n">
        <x:v>-0.004062590639991269</x:v>
      </x:c>
      <x:c r="U253" s="29" t="n">
        <x:v>0.007988549738364159</x:v>
      </x:c>
      <x:c r="V253" s="29" t="n">
        <x:v>0.2615680062549853</x:v>
      </x:c>
      <x:c r="W253" s="29" t="n">
        <x:v>0.0033161662068965513</x:v>
      </x:c>
      <x:c r="X253" s="29" t="n">
        <x:v>-0.030965108710276065</x:v>
      </x:c>
      <x:c r="Y253" s="29" t="n">
        <x:v>0.03759744112406917</x:v>
      </x:c>
      <x:c r="Z253" s="29" t="n">
        <x:v>0.4248117960549575</x:v>
      </x:c>
      <x:c r="AA253" s="29" t="n">
        <x:v>0.06896551724137931</x:v>
      </x:c>
      <x:c r="AB253" s="29" t="n">
        <x:v>0.06896551724137931</x:v>
      </x:c>
      <x:c r="AC253" s="40" t="b">
        <x:v>1</x:v>
      </x:c>
      <x:c r="AD253" s="40" t="b">
        <x:v>1</x:v>
      </x:c>
      <x:c r="AE253" s="40" t="b">
        <x:v>0</x:v>
      </x:c>
      <x:c r="AF253" s="29" t="n">
        <x:v>0.0019629795491864447</x:v>
      </x:c>
      <x:c r="AG253" s="29" t="n">
        <x:v>-0.033943657842519695</x:v>
      </x:c>
      <x:c r="AH253" s="29" t="n">
        <x:v>310</x:v>
      </x:c>
      <x:c r="AI253" s="29"/>
      <x:c r="AJ253" s="29" t="str">
        <x:v>추가 실험 필요</x:v>
      </x:c>
      <x:c r="AK253" s="30" t="str">
        <x:v>평균 효과 방향은 모두 양수이나 표본 또는 신뢰구간 기준을 통과하지 못함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1">
      <x:c r="A1" s="22" t="str">
        <x:v>DEPARTMENT</x:v>
      </x:c>
      <x:c r="B1" s="23" t="str">
        <x:v>COMMODITY_DESC</x:v>
      </x:c>
      <x:c r="C1" s="23" t="str">
        <x:v>has_display_comparison</x:v>
      </x:c>
      <x:c r="D1" s="23" t="str">
        <x:v>has_mailer_comparison</x:v>
      </x:c>
      <x:c r="E1" s="23" t="str">
        <x:v>has_both_comparisons</x:v>
      </x:c>
      <x:c r="F1" s="23" t="str">
        <x:v>products_vs_display_only</x:v>
      </x:c>
      <x:c r="G1" s="23" t="str">
        <x:v>product_stores_vs_display_only</x:v>
      </x:c>
      <x:c r="H1" s="23" t="str">
        <x:v>matched_pairs_vs_display_only</x:v>
      </x:c>
      <x:c r="I1" s="23" t="str">
        <x:v>sales_incidence_diff_vs_display_only</x:v>
      </x:c>
      <x:c r="J1" s="23" t="str">
        <x:v>revenue_diff_vs_display_only</x:v>
      </x:c>
      <x:c r="K1" s="23" t="str">
        <x:v>units_diff_vs_display_only</x:v>
      </x:c>
      <x:c r="L1" s="23" t="str">
        <x:v>baskets_diff_vs_display_only</x:v>
      </x:c>
      <x:c r="M1" s="23" t="str">
        <x:v>products_vs_mailer_only</x:v>
      </x:c>
      <x:c r="N1" s="23" t="str">
        <x:v>product_stores_vs_mailer_only</x:v>
      </x:c>
      <x:c r="O1" s="23" t="str">
        <x:v>matched_pairs_vs_mailer_only</x:v>
      </x:c>
      <x:c r="P1" s="23" t="str">
        <x:v>sales_incidence_diff_vs_mailer_only</x:v>
      </x:c>
      <x:c r="Q1" s="23" t="str">
        <x:v>revenue_diff_vs_mailer_only</x:v>
      </x:c>
      <x:c r="R1" s="23" t="str">
        <x:v>units_diff_vs_mailer_only</x:v>
      </x:c>
      <x:c r="S1" s="23" t="str">
        <x:v>baskets_diff_vs_mailer_only</x:v>
      </x:c>
      <x:c r="T1" s="24" t="str">
        <x:v>direction_pass</x:v>
      </x:c>
    </x:row>
    <x:row r="2">
      <x:c r="A2" s="25" t="str">
        <x:v>COSMETICS</x:v>
      </x:c>
      <x:c r="B2" s="26" t="str">
        <x:v>BATH</x:v>
      </x:c>
      <x:c r="C2" s="39" t="b">
        <x:v>1</x:v>
      </x:c>
      <x:c r="D2" s="39" t="b">
        <x:v>1</x:v>
      </x:c>
      <x:c r="E2" s="39" t="b">
        <x:v>1</x:v>
      </x:c>
      <x:c r="F2" s="26" t="n">
        <x:v>8</x:v>
      </x:c>
      <x:c r="G2" s="26" t="n">
        <x:v>160</x:v>
      </x:c>
      <x:c r="H2" s="26" t="n">
        <x:v>178</x:v>
      </x:c>
      <x:c r="I2" s="26" t="n">
        <x:v>0.003125</x:v>
      </x:c>
      <x:c r="J2" s="26" t="n">
        <x:v>0.014031249</x:v>
      </x:c>
      <x:c r="K2" s="26" t="n">
        <x:v>0.003125</x:v>
      </x:c>
      <x:c r="L2" s="26" t="n">
        <x:v>0.003125</x:v>
      </x:c>
      <x:c r="M2" s="26" t="n">
        <x:v>1</x:v>
      </x:c>
      <x:c r="N2" s="26" t="n">
        <x:v>20</x:v>
      </x:c>
      <x:c r="O2" s="26" t="n">
        <x:v>34</x:v>
      </x:c>
      <x:c r="P2" s="26" t="n">
        <x:v>0.025</x:v>
      </x:c>
      <x:c r="Q2" s="26" t="n">
        <x:v>0.11224999</x:v>
      </x:c>
      <x:c r="R2" s="26" t="n">
        <x:v>0.025</x:v>
      </x:c>
      <x:c r="S2" s="26" t="n">
        <x:v>0.025</x:v>
      </x:c>
      <x:c r="T2" s="41" t="b">
        <x:v>1</x:v>
      </x:c>
    </x:row>
    <x:row r="3">
      <x:c r="A3" s="25" t="str">
        <x:v>COSMETICS</x:v>
      </x:c>
      <x:c r="B3" s="26" t="str">
        <x:v>MAKEUP AND TREATMENT</x:v>
      </x:c>
      <x:c r="C3" s="39" t="b">
        <x:v>1</x:v>
      </x:c>
      <x:c r="D3" s="39" t="b">
        <x:v>1</x:v>
      </x:c>
      <x:c r="E3" s="39" t="b">
        <x:v>1</x:v>
      </x:c>
      <x:c r="F3" s="26" t="n">
        <x:v>288</x:v>
      </x:c>
      <x:c r="G3" s="26" t="n">
        <x:v>1213</x:v>
      </x:c>
      <x:c r="H3" s="26" t="n">
        <x:v>1770</x:v>
      </x:c>
      <x:c r="I3" s="26" t="n">
        <x:v>0.0006183017312448</x:v>
      </x:c>
      <x:c r="J3" s="26" t="n">
        <x:v>0.00023495458</x:v>
      </x:c>
      <x:c r="K3" s="26" t="n">
        <x:v>0.0008244023083264</x:v>
      </x:c>
      <x:c r="L3" s="26" t="n">
        <x:v>0.0006183017312448</x:v>
      </x:c>
      <x:c r="M3" s="26" t="n">
        <x:v>166</x:v>
      </x:c>
      <x:c r="N3" s="26" t="n">
        <x:v>627</x:v>
      </x:c>
      <x:c r="O3" s="26" t="n">
        <x:v>739</x:v>
      </x:c>
      <x:c r="P3" s="26" t="n">
        <x:v>0.003987240829346</x:v>
      </x:c>
      <x:c r="Q3" s="26" t="n">
        <x:v>0.015542265</x:v>
      </x:c>
      <x:c r="R3" s="26" t="n">
        <x:v>0.003987240829346</x:v>
      </x:c>
      <x:c r="S3" s="26" t="n">
        <x:v>0.003987240829346</x:v>
      </x:c>
      <x:c r="T3" s="41" t="b">
        <x:v>1</x:v>
      </x:c>
    </x:row>
    <x:row r="4">
      <x:c r="A4" s="25" t="str">
        <x:v>COUP/STR &amp; MFG</x:v>
      </x:c>
      <x:c r="B4" s="26" t="str">
        <x:v>COUPONS/STORE &amp; MFG</x:v>
      </x:c>
      <x:c r="C4" s="39" t="b">
        <x:v>1</x:v>
      </x:c>
      <x:c r="D4" s="39" t="b">
        <x:v>1</x:v>
      </x:c>
      <x:c r="E4" s="39" t="b">
        <x:v>1</x:v>
      </x:c>
      <x:c r="F4" s="26" t="n">
        <x:v>4</x:v>
      </x:c>
      <x:c r="G4" s="26" t="n">
        <x:v>71</x:v>
      </x:c>
      <x:c r="H4" s="26" t="n">
        <x:v>134</x:v>
      </x:c>
      <x:c r="I4" s="26" t="n">
        <x:v>0.0211267605633802</x:v>
      </x:c>
      <x:c r="J4" s="26" t="n">
        <x:v>0.13697183</x:v>
      </x:c>
      <x:c r="K4" s="26" t="n">
        <x:v>0.0352112676056338</x:v>
      </x:c>
      <x:c r="L4" s="26" t="n">
        <x:v>0.0211267605633802</x:v>
      </x:c>
      <x:c r="M4" s="26" t="n">
        <x:v>3</x:v>
      </x:c>
      <x:c r="N4" s="26" t="n">
        <x:v>91</x:v>
      </x:c>
      <x:c r="O4" s="26" t="n">
        <x:v>134</x:v>
      </x:c>
      <x:c r="P4" s="26" t="n">
        <x:v>0.0091575091575091</x:v>
      </x:c>
      <x:c r="Q4" s="26" t="n">
        <x:v>0.011813185</x:v>
      </x:c>
      <x:c r="R4" s="26" t="n">
        <x:v>0.0091575091575091</x:v>
      </x:c>
      <x:c r="S4" s="26" t="n">
        <x:v>0.0091575091575091</x:v>
      </x:c>
      <x:c r="T4" s="41" t="b">
        <x:v>1</x:v>
      </x:c>
    </x:row>
    <x:row r="5">
      <x:c r="A5" s="25" t="str">
        <x:v>DELI</x:v>
      </x:c>
      <x:c r="B5" s="26" t="str">
        <x:v>PREPARED FOOD</x:v>
      </x:c>
      <x:c r="C5" s="39" t="b">
        <x:v>1</x:v>
      </x:c>
      <x:c r="D5" s="39" t="b">
        <x:v>1</x:v>
      </x:c>
      <x:c r="E5" s="39" t="b">
        <x:v>1</x:v>
      </x:c>
      <x:c r="F5" s="26" t="n">
        <x:v>28</x:v>
      </x:c>
      <x:c r="G5" s="26" t="n">
        <x:v>185</x:v>
      </x:c>
      <x:c r="H5" s="26" t="n">
        <x:v>442</x:v>
      </x:c>
      <x:c r="I5" s="26" t="n">
        <x:v>0.0061776061776061</x:v>
      </x:c>
      <x:c r="J5" s="26" t="n">
        <x:v>0.03396911</x:v>
      </x:c>
      <x:c r="K5" s="26" t="n">
        <x:v>0.0169884169884169</x:v>
      </x:c>
      <x:c r="L5" s="26" t="n">
        <x:v>0.0061776061776061</x:v>
      </x:c>
      <x:c r="M5" s="26" t="n">
        <x:v>13</x:v>
      </x:c>
      <x:c r="N5" s="26" t="n">
        <x:v>207</x:v>
      </x:c>
      <x:c r="O5" s="26" t="n">
        <x:v>381</x:v>
      </x:c>
      <x:c r="P5" s="26" t="n">
        <x:v>0.0044685990338164</x:v>
      </x:c>
      <x:c r="Q5" s="26" t="n">
        <x:v>0.027813608</x:v>
      </x:c>
      <x:c r="R5" s="26" t="n">
        <x:v>0.0044685990338164</x:v>
      </x:c>
      <x:c r="S5" s="26" t="n">
        <x:v>0.0044685990338164</x:v>
      </x:c>
      <x:c r="T5" s="41" t="b">
        <x:v>1</x:v>
      </x:c>
    </x:row>
    <x:row r="6">
      <x:c r="A6" s="25" t="str">
        <x:v>DELI</x:v>
      </x:c>
      <x:c r="B6" s="26" t="str">
        <x:v>SALADS/DIPS</x:v>
      </x:c>
      <x:c r="C6" s="39" t="b">
        <x:v>1</x:v>
      </x:c>
      <x:c r="D6" s="39" t="b">
        <x:v>1</x:v>
      </x:c>
      <x:c r="E6" s="39" t="b">
        <x:v>1</x:v>
      </x:c>
      <x:c r="F6" s="26" t="n">
        <x:v>78</x:v>
      </x:c>
      <x:c r="G6" s="26" t="n">
        <x:v>794</x:v>
      </x:c>
      <x:c r="H6" s="26" t="n">
        <x:v>2165</x:v>
      </x:c>
      <x:c r="I6" s="26" t="n">
        <x:v>0.0051772220223101</x:v>
      </x:c>
      <x:c r="J6" s="26" t="n">
        <x:v>0.008707583</x:v>
      </x:c>
      <x:c r="K6" s="26" t="n">
        <x:v>0.0051772220223101</x:v>
      </x:c>
      <x:c r="L6" s="26" t="n">
        <x:v>0.0051772220223101</x:v>
      </x:c>
      <x:c r="M6" s="26" t="n">
        <x:v>53</x:v>
      </x:c>
      <x:c r="N6" s="26" t="n">
        <x:v>1025</x:v>
      </x:c>
      <x:c r="O6" s="26" t="n">
        <x:v>2117</x:v>
      </x:c>
      <x:c r="P6" s="26" t="n">
        <x:v>0.0033333333333333</x:v>
      </x:c>
      <x:c r="Q6" s="26" t="n">
        <x:v>0.012165041</x:v>
      </x:c>
      <x:c r="R6" s="26" t="n">
        <x:v>0.0033333333333333</x:v>
      </x:c>
      <x:c r="S6" s="26" t="n">
        <x:v>0.0033333333333333</x:v>
      </x:c>
      <x:c r="T6" s="41" t="b">
        <x:v>1</x:v>
      </x:c>
    </x:row>
    <x:row r="7">
      <x:c r="A7" s="25" t="str">
        <x:v>DRUG GM</x:v>
      </x:c>
      <x:c r="B7" s="26" t="str">
        <x:v>ANALGESICS</x:v>
      </x:c>
      <x:c r="C7" s="39" t="b">
        <x:v>1</x:v>
      </x:c>
      <x:c r="D7" s="39" t="b">
        <x:v>1</x:v>
      </x:c>
      <x:c r="E7" s="39" t="b">
        <x:v>1</x:v>
      </x:c>
      <x:c r="F7" s="26" t="n">
        <x:v>216</x:v>
      </x:c>
      <x:c r="G7" s="26" t="n">
        <x:v>3687</x:v>
      </x:c>
      <x:c r="H7" s="26" t="n">
        <x:v>6806</x:v>
      </x:c>
      <x:c r="I7" s="26" t="n">
        <x:v>0.00009568152367175966</x:v>
      </x:c>
      <x:c r="J7" s="26" t="n">
        <x:v>0.0006750566</x:v>
      </x:c>
      <x:c r="K7" s="26" t="n">
        <x:v>0.0008468191543862</x:v>
      </x:c>
      <x:c r="L7" s="26" t="n">
        <x:v>0.0004121086098303</x:v>
      </x:c>
      <x:c r="M7" s="26" t="n">
        <x:v>122</x:v>
      </x:c>
      <x:c r="N7" s="26" t="n">
        <x:v>1396</x:v>
      </x:c>
      <x:c r="O7" s="26" t="n">
        <x:v>1697</x:v>
      </x:c>
      <x:c r="P7" s="26" t="n">
        <x:v>0.0022683858643744</x:v>
      </x:c>
      <x:c r="Q7" s="26" t="n">
        <x:v>0.01883596</x:v>
      </x:c>
      <x:c r="R7" s="26" t="n">
        <x:v>0.0020296084049665</x:v>
      </x:c>
      <x:c r="S7" s="26" t="n">
        <x:v>0.0011938872970391</x:v>
      </x:c>
      <x:c r="T7" s="41" t="b">
        <x:v>1</x:v>
      </x:c>
    </x:row>
    <x:row r="8">
      <x:c r="A8" s="25" t="str">
        <x:v>DRUG GM</x:v>
      </x:c>
      <x:c r="B8" s="26" t="str">
        <x:v>BABY FOODS</x:v>
      </x:c>
      <x:c r="C8" s="39" t="b">
        <x:v>1</x:v>
      </x:c>
      <x:c r="D8" s="39" t="b">
        <x:v>1</x:v>
      </x:c>
      <x:c r="E8" s="39" t="b">
        <x:v>1</x:v>
      </x:c>
      <x:c r="F8" s="26" t="n">
        <x:v>59</x:v>
      </x:c>
      <x:c r="G8" s="26" t="n">
        <x:v>233</x:v>
      </x:c>
      <x:c r="H8" s="26" t="n">
        <x:v>296</x:v>
      </x:c>
      <x:c r="I8" s="26" t="n">
        <x:v>0.0064377682403433</x:v>
      </x:c>
      <x:c r="J8" s="26" t="n">
        <x:v>0.0026180258</x:v>
      </x:c>
      <x:c r="K8" s="26" t="n">
        <x:v>0.0064377682403433</x:v>
      </x:c>
      <x:c r="L8" s="26" t="n">
        <x:v>0.0064377682403433</x:v>
      </x:c>
      <x:c r="M8" s="26" t="n">
        <x:v>37</x:v>
      </x:c>
      <x:c r="N8" s="26" t="n">
        <x:v>124</x:v>
      </x:c>
      <x:c r="O8" s="26" t="n">
        <x:v>124</x:v>
      </x:c>
      <x:c r="P8" s="26" t="n">
        <x:v>0.0241935483870967</x:v>
      </x:c>
      <x:c r="Q8" s="26" t="n">
        <x:v>0.019354839</x:v>
      </x:c>
      <x:c r="R8" s="26" t="n">
        <x:v>0.0241935483870967</x:v>
      </x:c>
      <x:c r="S8" s="26" t="n">
        <x:v>0.0241935483870967</x:v>
      </x:c>
      <x:c r="T8" s="41" t="b">
        <x:v>1</x:v>
      </x:c>
    </x:row>
    <x:row r="9">
      <x:c r="A9" s="25" t="str">
        <x:v>DRUG GM</x:v>
      </x:c>
      <x:c r="B9" s="26" t="str">
        <x:v>BABY HBC</x:v>
      </x:c>
      <x:c r="C9" s="39" t="b">
        <x:v>1</x:v>
      </x:c>
      <x:c r="D9" s="39" t="b">
        <x:v>1</x:v>
      </x:c>
      <x:c r="E9" s="39" t="b">
        <x:v>1</x:v>
      </x:c>
      <x:c r="F9" s="26" t="n">
        <x:v>137</x:v>
      </x:c>
      <x:c r="G9" s="26" t="n">
        <x:v>1937</x:v>
      </x:c>
      <x:c r="H9" s="26" t="n">
        <x:v>2860</x:v>
      </x:c>
      <x:c r="I9" s="26" t="n">
        <x:v>0.0076406814661848</x:v>
      </x:c>
      <x:c r="J9" s="26" t="n">
        <x:v>0.020148167</x:v>
      </x:c>
      <x:c r="K9" s="26" t="n">
        <x:v>0.0158148339356393</x:v>
      </x:c>
      <x:c r="L9" s="26" t="n">
        <x:v>0.0084150748580278</x:v>
      </x:c>
      <x:c r="M9" s="26" t="n">
        <x:v>62</x:v>
      </x:c>
      <x:c r="N9" s="26" t="n">
        <x:v>1104</x:v>
      </x:c>
      <x:c r="O9" s="26" t="n">
        <x:v>1268</x:v>
      </x:c>
      <x:c r="P9" s="26" t="n">
        <x:v>0.0039251207729468</x:v>
      </x:c>
      <x:c r="Q9" s="26" t="n">
        <x:v>0.012957427</x:v>
      </x:c>
      <x:c r="R9" s="26" t="n">
        <x:v>0.0016606280193236</x:v>
      </x:c>
      <x:c r="S9" s="26" t="n">
        <x:v>0.0039251207729468</x:v>
      </x:c>
      <x:c r="T9" s="41" t="b">
        <x:v>1</x:v>
      </x:c>
    </x:row>
    <x:row r="10">
      <x:c r="A10" s="25" t="str">
        <x:v>DRUG GM</x:v>
      </x:c>
      <x:c r="B10" s="26" t="str">
        <x:v>BATTERIES</x:v>
      </x:c>
      <x:c r="C10" s="39" t="b">
        <x:v>1</x:v>
      </x:c>
      <x:c r="D10" s="39" t="b">
        <x:v>1</x:v>
      </x:c>
      <x:c r="E10" s="39" t="b">
        <x:v>1</x:v>
      </x:c>
      <x:c r="F10" s="26" t="n">
        <x:v>66</x:v>
      </x:c>
      <x:c r="G10" s="26" t="n">
        <x:v>3317</x:v>
      </x:c>
      <x:c r="H10" s="26" t="n">
        <x:v>25718</x:v>
      </x:c>
      <x:c r="I10" s="26" t="n">
        <x:v>0.0012847901792506</x:v>
      </x:c>
      <x:c r="J10" s="26" t="n">
        <x:v>0.016345477</x:v>
      </x:c>
      <x:c r="K10" s="26" t="n">
        <x:v>0.0025196527332534</x:v>
      </x:c>
      <x:c r="L10" s="26" t="n">
        <x:v>0.0013809551675978</x:v>
      </x:c>
      <x:c r="M10" s="26" t="n">
        <x:v>54</x:v>
      </x:c>
      <x:c r="N10" s="26" t="n">
        <x:v>3084</x:v>
      </x:c>
      <x:c r="O10" s="26" t="n">
        <x:v>12813</x:v>
      </x:c>
      <x:c r="P10" s="26" t="n">
        <x:v>0.0011564392157777</x:v>
      </x:c>
      <x:c r="Q10" s="26" t="n">
        <x:v>0.011599012</x:v>
      </x:c>
      <x:c r="R10" s="26" t="n">
        <x:v>0.0023089606747194</x:v>
      </x:c>
      <x:c r="S10" s="26" t="n">
        <x:v>0.0014083597984376</x:v>
      </x:c>
      <x:c r="T10" s="41" t="b">
        <x:v>1</x:v>
      </x:c>
    </x:row>
    <x:row r="11">
      <x:c r="A11" s="25" t="str">
        <x:v>DRUG GM</x:v>
      </x:c>
      <x:c r="B11" s="26" t="str">
        <x:v>CANDY - CHECKLANE</x:v>
      </x:c>
      <x:c r="C11" s="39" t="b">
        <x:v>1</x:v>
      </x:c>
      <x:c r="D11" s="39" t="b">
        <x:v>1</x:v>
      </x:c>
      <x:c r="E11" s="39" t="b">
        <x:v>1</x:v>
      </x:c>
      <x:c r="F11" s="26" t="n">
        <x:v>291</x:v>
      </x:c>
      <x:c r="G11" s="26" t="n">
        <x:v>17603</x:v>
      </x:c>
      <x:c r="H11" s="26" t="n">
        <x:v>70401</x:v>
      </x:c>
      <x:c r="I11" s="26" t="n">
        <x:v>0.0102614987181788</x:v>
      </x:c>
      <x:c r="J11" s="26" t="n">
        <x:v>0.007226925</x:v>
      </x:c>
      <x:c r="K11" s="26" t="n">
        <x:v>0.0265083947560363</x:v>
      </x:c>
      <x:c r="L11" s="26" t="n">
        <x:v>0.012436266587464</x:v>
      </x:c>
      <x:c r="M11" s="26" t="n">
        <x:v>227</x:v>
      </x:c>
      <x:c r="N11" s="26" t="n">
        <x:v>14103</x:v>
      </x:c>
      <x:c r="O11" s="26" t="n">
        <x:v>33900</x:v>
      </x:c>
      <x:c r="P11" s="26" t="n">
        <x:v>0.0039140659540574</x:v>
      </x:c>
      <x:c r="Q11" s="26" t="n">
        <x:v>0.0021217382</x:v>
      </x:c>
      <x:c r="R11" s="26" t="n">
        <x:v>0.0086649927003043</x:v>
      </x:c>
      <x:c r="S11" s="26" t="n">
        <x:v>0.0051070745337922</x:v>
      </x:c>
      <x:c r="T11" s="41" t="b">
        <x:v>1</x:v>
      </x:c>
    </x:row>
    <x:row r="12">
      <x:c r="A12" s="25" t="str">
        <x:v>DRUG GM</x:v>
      </x:c>
      <x:c r="B12" s="26" t="str">
        <x:v>CANDY - PACKAGED</x:v>
      </x:c>
      <x:c r="C12" s="39" t="b">
        <x:v>1</x:v>
      </x:c>
      <x:c r="D12" s="39" t="b">
        <x:v>1</x:v>
      </x:c>
      <x:c r="E12" s="39" t="b">
        <x:v>1</x:v>
      </x:c>
      <x:c r="F12" s="26" t="n">
        <x:v>900</x:v>
      </x:c>
      <x:c r="G12" s="26" t="n">
        <x:v>21638</x:v>
      </x:c>
      <x:c r="H12" s="26" t="n">
        <x:v>63957</x:v>
      </x:c>
      <x:c r="I12" s="26" t="n">
        <x:v>0.0050813474091042</x:v>
      </x:c>
      <x:c r="J12" s="26" t="n">
        <x:v>0.010928131</x:v>
      </x:c>
      <x:c r="K12" s="26" t="n">
        <x:v>0.0090082118801123</x:v>
      </x:c>
      <x:c r="L12" s="26" t="n">
        <x:v>0.0065730217305769</x:v>
      </x:c>
      <x:c r="M12" s="26" t="n">
        <x:v>426</x:v>
      </x:c>
      <x:c r="N12" s="26" t="n">
        <x:v>15658</x:v>
      </x:c>
      <x:c r="O12" s="26" t="n">
        <x:v>48534</x:v>
      </x:c>
      <x:c r="P12" s="26" t="n">
        <x:v>0.0083713013189957</x:v>
      </x:c>
      <x:c r="Q12" s="26" t="n">
        <x:v>0.021879613</x:v>
      </x:c>
      <x:c r="R12" s="26" t="n">
        <x:v>0.0124749051703324</x:v>
      </x:c>
      <x:c r="S12" s="26" t="n">
        <x:v>0.0101480096945673</x:v>
      </x:c>
      <x:c r="T12" s="41" t="b">
        <x:v>1</x:v>
      </x:c>
    </x:row>
    <x:row r="13">
      <x:c r="A13" s="25" t="str">
        <x:v>DRUG GM</x:v>
      </x:c>
      <x:c r="B13" s="26" t="str">
        <x:v>CHRISTMAS  SEASONAL</x:v>
      </x:c>
      <x:c r="C13" s="39" t="b">
        <x:v>1</x:v>
      </x:c>
      <x:c r="D13" s="39" t="b">
        <x:v>1</x:v>
      </x:c>
      <x:c r="E13" s="39" t="b">
        <x:v>1</x:v>
      </x:c>
      <x:c r="F13" s="26" t="n">
        <x:v>198</x:v>
      </x:c>
      <x:c r="G13" s="26" t="n">
        <x:v>865</x:v>
      </x:c>
      <x:c r="H13" s="26" t="n">
        <x:v>1199</x:v>
      </x:c>
      <x:c r="I13" s="26" t="n">
        <x:v>0.0084778420038535</x:v>
      </x:c>
      <x:c r="J13" s="26" t="n">
        <x:v>0.022847783</x:v>
      </x:c>
      <x:c r="K13" s="26" t="n">
        <x:v>0.0213872832369942</x:v>
      </x:c>
      <x:c r="L13" s="26" t="n">
        <x:v>0.0078998073217726</x:v>
      </x:c>
      <x:c r="M13" s="26" t="n">
        <x:v>149</x:v>
      </x:c>
      <x:c r="N13" s="26" t="n">
        <x:v>582</x:v>
      </x:c>
      <x:c r="O13" s="26" t="n">
        <x:v>690</x:v>
      </x:c>
      <x:c r="P13" s="26" t="n">
        <x:v>0.0077319587628865</x:v>
      </x:c>
      <x:c r="Q13" s="26" t="n">
        <x:v>0.038170103</x:v>
      </x:c>
      <x:c r="R13" s="26" t="n">
        <x:v>0.0283505154639175</x:v>
      </x:c>
      <x:c r="S13" s="26" t="n">
        <x:v>0.0077319587628865</x:v>
      </x:c>
      <x:c r="T13" s="41" t="b">
        <x:v>1</x:v>
      </x:c>
    </x:row>
    <x:row r="14">
      <x:c r="A14" s="25" t="str">
        <x:v>DRUG GM</x:v>
      </x:c>
      <x:c r="B14" s="26" t="str">
        <x:v>COLD AND FLU</x:v>
      </x:c>
      <x:c r="C14" s="39" t="b">
        <x:v>1</x:v>
      </x:c>
      <x:c r="D14" s="39" t="b">
        <x:v>1</x:v>
      </x:c>
      <x:c r="E14" s="39" t="b">
        <x:v>1</x:v>
      </x:c>
      <x:c r="F14" s="26" t="n">
        <x:v>204</x:v>
      </x:c>
      <x:c r="G14" s="26" t="n">
        <x:v>5383</x:v>
      </x:c>
      <x:c r="H14" s="26" t="n">
        <x:v>8999</x:v>
      </x:c>
      <x:c r="I14" s="26" t="n">
        <x:v>0.0027896464177348</x:v>
      </x:c>
      <x:c r="J14" s="26" t="n">
        <x:v>0.012392005</x:v>
      </x:c>
      <x:c r="K14" s="26" t="n">
        <x:v>0.0033995913059632</x:v>
      </x:c>
      <x:c r="L14" s="26" t="n">
        <x:v>0.0032447829586971</x:v>
      </x:c>
      <x:c r="M14" s="26" t="n">
        <x:v>81</x:v>
      </x:c>
      <x:c r="N14" s="26" t="n">
        <x:v>1451</x:v>
      </x:c>
      <x:c r="O14" s="26" t="n">
        <x:v>1539</x:v>
      </x:c>
      <x:c r="P14" s="26" t="n">
        <x:v>0.0037904893177119</x:v>
      </x:c>
      <x:c r="Q14" s="26" t="n">
        <x:v>0.00914197</x:v>
      </x:c>
      <x:c r="R14" s="26" t="n">
        <x:v>0.0024121295658166</x:v>
      </x:c>
      <x:c r="S14" s="26" t="n">
        <x:v>0.0037904893177119</x:v>
      </x:c>
      <x:c r="T14" s="41" t="b">
        <x:v>1</x:v>
      </x:c>
    </x:row>
    <x:row r="15">
      <x:c r="A15" s="25" t="str">
        <x:v>DRUG GM</x:v>
      </x:c>
      <x:c r="B15" s="26" t="str">
        <x:v>DEODORANTS</x:v>
      </x:c>
      <x:c r="C15" s="39" t="b">
        <x:v>1</x:v>
      </x:c>
      <x:c r="D15" s="39" t="b">
        <x:v>1</x:v>
      </x:c>
      <x:c r="E15" s="39" t="b">
        <x:v>1</x:v>
      </x:c>
      <x:c r="F15" s="26" t="n">
        <x:v>278</x:v>
      </x:c>
      <x:c r="G15" s="26" t="n">
        <x:v>4410</x:v>
      </x:c>
      <x:c r="H15" s="26" t="n">
        <x:v>7542</x:v>
      </x:c>
      <x:c r="I15" s="26" t="n">
        <x:v>0.0007674657164453</x:v>
      </x:c>
      <x:c r="J15" s="26" t="n">
        <x:v>0.00335497</x:v>
      </x:c>
      <x:c r="K15" s="26" t="n">
        <x:v>0.0011529532447899</x:v>
      </x:c>
      <x:c r="L15" s="26" t="n">
        <x:v>0.0009942230860598</x:v>
      </x:c>
      <x:c r="M15" s="26" t="n">
        <x:v>115</x:v>
      </x:c>
      <x:c r="N15" s="26" t="n">
        <x:v>2222</x:v>
      </x:c>
      <x:c r="O15" s="26" t="n">
        <x:v>3030</x:v>
      </x:c>
      <x:c r="P15" s="26" t="n">
        <x:v>0.0035253525352535</x:v>
      </x:c>
      <x:c r="Q15" s="26" t="n">
        <x:v>0.007782028</x:v>
      </x:c>
      <x:c r="R15" s="26" t="n">
        <x:v>0.0036378637863786</x:v>
      </x:c>
      <x:c r="S15" s="26" t="n">
        <x:v>0.0035253525352535</x:v>
      </x:c>
      <x:c r="T15" s="41" t="b">
        <x:v>1</x:v>
      </x:c>
    </x:row>
    <x:row r="16">
      <x:c r="A16" s="25" t="str">
        <x:v>DRUG GM</x:v>
      </x:c>
      <x:c r="B16" s="26" t="str">
        <x:v>DIETARY AID PRODUCTS</x:v>
      </x:c>
      <x:c r="C16" s="39" t="b">
        <x:v>1</x:v>
      </x:c>
      <x:c r="D16" s="39" t="b">
        <x:v>1</x:v>
      </x:c>
      <x:c r="E16" s="39" t="b">
        <x:v>1</x:v>
      </x:c>
      <x:c r="F16" s="26" t="n">
        <x:v>127</x:v>
      </x:c>
      <x:c r="G16" s="26" t="n">
        <x:v>1476</x:v>
      </x:c>
      <x:c r="H16" s="26" t="n">
        <x:v>1943</x:v>
      </x:c>
      <x:c r="I16" s="26" t="n">
        <x:v>0.0066621499548328</x:v>
      </x:c>
      <x:c r="J16" s="26" t="n">
        <x:v>0.022084463</x:v>
      </x:c>
      <x:c r="K16" s="26" t="n">
        <x:v>0.0116305329719963</x:v>
      </x:c>
      <x:c r="L16" s="26" t="n">
        <x:v>0.0066621499548328</x:v>
      </x:c>
      <x:c r="M16" s="26" t="n">
        <x:v>29</x:v>
      </x:c>
      <x:c r="N16" s="26" t="n">
        <x:v>281</x:v>
      </x:c>
      <x:c r="O16" s="26" t="n">
        <x:v>310</x:v>
      </x:c>
      <x:c r="P16" s="26" t="n">
        <x:v>0.0035587188612099</x:v>
      </x:c>
      <x:c r="Q16" s="26" t="n">
        <x:v>0.003487543</x:v>
      </x:c>
      <x:c r="R16" s="26" t="n">
        <x:v>0</x:v>
      </x:c>
      <x:c r="S16" s="26" t="n">
        <x:v>0.0035587188612099</x:v>
      </x:c>
      <x:c r="T16" s="41" t="b">
        <x:v>1</x:v>
      </x:c>
    </x:row>
    <x:row r="17">
      <x:c r="A17" s="25" t="str">
        <x:v>DRUG GM</x:v>
      </x:c>
      <x:c r="B17" s="26" t="str">
        <x:v>ELECTRICAL SUPPPLIES</x:v>
      </x:c>
      <x:c r="C17" s="39" t="b">
        <x:v>1</x:v>
      </x:c>
      <x:c r="D17" s="39" t="b">
        <x:v>1</x:v>
      </x:c>
      <x:c r="E17" s="39" t="b">
        <x:v>1</x:v>
      </x:c>
      <x:c r="F17" s="26" t="n">
        <x:v>33</x:v>
      </x:c>
      <x:c r="G17" s="26" t="n">
        <x:v>1178</x:v>
      </x:c>
      <x:c r="H17" s="26" t="n">
        <x:v>2407</x:v>
      </x:c>
      <x:c r="I17" s="26" t="n">
        <x:v>0.0038483305036785</x:v>
      </x:c>
      <x:c r="J17" s="26" t="n">
        <x:v>0.0066509624</x:v>
      </x:c>
      <x:c r="K17" s="26" t="n">
        <x:v>0.0074136955291454</x:v>
      </x:c>
      <x:c r="L17" s="26" t="n">
        <x:v>0.0041312959818902</x:v>
      </x:c>
      <x:c r="M17" s="26" t="n">
        <x:v>10</x:v>
      </x:c>
      <x:c r="N17" s="26" t="n">
        <x:v>670</x:v>
      </x:c>
      <x:c r="O17" s="26" t="n">
        <x:v>882</x:v>
      </x:c>
      <x:c r="P17" s="26" t="n">
        <x:v>0.0032338308457711</x:v>
      </x:c>
      <x:c r="Q17" s="26" t="n">
        <x:v>0.000012437977</x:v>
      </x:c>
      <x:c r="R17" s="26" t="n">
        <x:v>0.0004975124378109</x:v>
      </x:c>
      <x:c r="S17" s="26" t="n">
        <x:v>0.0002487562189054</x:v>
      </x:c>
      <x:c r="T17" s="41" t="b">
        <x:v>1</x:v>
      </x:c>
    </x:row>
    <x:row r="18">
      <x:c r="A18" s="25" t="str">
        <x:v>DRUG GM</x:v>
      </x:c>
      <x:c r="B18" s="26" t="str">
        <x:v>GREETING CARDS/WRAP/PARTY SPLY</x:v>
      </x:c>
      <x:c r="C18" s="39" t="b">
        <x:v>1</x:v>
      </x:c>
      <x:c r="D18" s="39" t="b">
        <x:v>1</x:v>
      </x:c>
      <x:c r="E18" s="39" t="b">
        <x:v>1</x:v>
      </x:c>
      <x:c r="F18" s="26" t="n">
        <x:v>27</x:v>
      </x:c>
      <x:c r="G18" s="26" t="n">
        <x:v>194</x:v>
      </x:c>
      <x:c r="H18" s="26" t="n">
        <x:v>231</x:v>
      </x:c>
      <x:c r="I18" s="26" t="n">
        <x:v>0.0257731958762886</x:v>
      </x:c>
      <x:c r="J18" s="26" t="n">
        <x:v>0.030927835</x:v>
      </x:c>
      <x:c r="K18" s="26" t="n">
        <x:v>0.0309278350515463</x:v>
      </x:c>
      <x:c r="L18" s="26" t="n">
        <x:v>0.0257731958762886</x:v>
      </x:c>
      <x:c r="M18" s="26" t="n">
        <x:v>17</x:v>
      </x:c>
      <x:c r="N18" s="26" t="n">
        <x:v>111</x:v>
      </x:c>
      <x:c r="O18" s="26" t="n">
        <x:v>111</x:v>
      </x:c>
      <x:c r="P18" s="26" t="n">
        <x:v>0.009009009009009</x:v>
      </x:c>
      <x:c r="Q18" s="26" t="n">
        <x:v>0.018018018</x:v>
      </x:c>
      <x:c r="R18" s="26" t="n">
        <x:v>0.018018018018018</x:v>
      </x:c>
      <x:c r="S18" s="26" t="n">
        <x:v>0.009009009009009</x:v>
      </x:c>
      <x:c r="T18" s="41" t="b">
        <x:v>1</x:v>
      </x:c>
    </x:row>
    <x:row r="19">
      <x:c r="A19" s="25" t="str">
        <x:v>DRUG GM</x:v>
      </x:c>
      <x:c r="B19" s="26" t="str">
        <x:v>HAND/BODY/FACIAL PRODUCTS</x:v>
      </x:c>
      <x:c r="C19" s="39" t="b">
        <x:v>1</x:v>
      </x:c>
      <x:c r="D19" s="39" t="b">
        <x:v>1</x:v>
      </x:c>
      <x:c r="E19" s="39" t="b">
        <x:v>1</x:v>
      </x:c>
      <x:c r="F19" s="26" t="n">
        <x:v>159</x:v>
      </x:c>
      <x:c r="G19" s="26" t="n">
        <x:v>1591</x:v>
      </x:c>
      <x:c r="H19" s="26" t="n">
        <x:v>1845</x:v>
      </x:c>
      <x:c r="I19" s="26" t="n">
        <x:v>0.0006285355122564</x:v>
      </x:c>
      <x:c r="J19" s="26" t="n">
        <x:v>0.0013544939</x:v>
      </x:c>
      <x:c r="K19" s="26" t="n">
        <x:v>0.0012570710245128</x:v>
      </x:c>
      <x:c r="L19" s="26" t="n">
        <x:v>0.0012570710245128</x:v>
      </x:c>
      <x:c r="M19" s="26" t="n">
        <x:v>37</x:v>
      </x:c>
      <x:c r="N19" s="26" t="n">
        <x:v>374</x:v>
      </x:c>
      <x:c r="O19" s="26" t="n">
        <x:v>416</x:v>
      </x:c>
      <x:c r="P19" s="26" t="n">
        <x:v>0.0026737967914438</x:v>
      </x:c>
      <x:c r="Q19" s="26" t="n">
        <x:v>0.0026737968</x:v>
      </x:c>
      <x:c r="R19" s="26" t="n">
        <x:v>0.0026737967914438</x:v>
      </x:c>
      <x:c r="S19" s="26" t="n">
        <x:v>0.0026737967914438</x:v>
      </x:c>
      <x:c r="T19" s="41" t="b">
        <x:v>1</x:v>
      </x:c>
    </x:row>
    <x:row r="20">
      <x:c r="A20" s="25" t="str">
        <x:v>DRUG GM</x:v>
      </x:c>
      <x:c r="B20" s="26" t="str">
        <x:v>KITCHEN GADGETS</x:v>
      </x:c>
      <x:c r="C20" s="39" t="b">
        <x:v>1</x:v>
      </x:c>
      <x:c r="D20" s="39" t="b">
        <x:v>1</x:v>
      </x:c>
      <x:c r="E20" s="39" t="b">
        <x:v>1</x:v>
      </x:c>
      <x:c r="F20" s="26" t="n">
        <x:v>95</x:v>
      </x:c>
      <x:c r="G20" s="26" t="n">
        <x:v>1512</x:v>
      </x:c>
      <x:c r="H20" s="26" t="n">
        <x:v>1947</x:v>
      </x:c>
      <x:c r="I20" s="26" t="n">
        <x:v>0.0026455026455026</x:v>
      </x:c>
      <x:c r="J20" s="26" t="n">
        <x:v>0.016789021</x:v>
      </x:c>
      <x:c r="K20" s="26" t="n">
        <x:v>0.0033068783068783</x:v>
      </x:c>
      <x:c r="L20" s="26" t="n">
        <x:v>0.0026455026455026</x:v>
      </x:c>
      <x:c r="M20" s="26" t="n">
        <x:v>16</x:v>
      </x:c>
      <x:c r="N20" s="26" t="n">
        <x:v>30</x:v>
      </x:c>
      <x:c r="O20" s="26" t="n">
        <x:v>30</x:v>
      </x:c>
      <x:c r="P20" s="26" t="n">
        <x:v>0.0666666666666666</x:v>
      </x:c>
      <x:c r="Q20" s="26" t="n">
        <x:v>0.08633334</x:v>
      </x:c>
      <x:c r="R20" s="26" t="n">
        <x:v>0.1</x:v>
      </x:c>
      <x:c r="S20" s="26" t="n">
        <x:v>0.0666666666666666</x:v>
      </x:c>
      <x:c r="T20" s="41" t="b">
        <x:v>1</x:v>
      </x:c>
    </x:row>
    <x:row r="21">
      <x:c r="A21" s="25" t="str">
        <x:v>DRUG GM</x:v>
      </x:c>
      <x:c r="B21" s="26" t="str">
        <x:v>PLASTIC HOUSEWARES</x:v>
      </x:c>
      <x:c r="C21" s="39" t="b">
        <x:v>1</x:v>
      </x:c>
      <x:c r="D21" s="39" t="b">
        <x:v>1</x:v>
      </x:c>
      <x:c r="E21" s="39" t="b">
        <x:v>1</x:v>
      </x:c>
      <x:c r="F21" s="26" t="n">
        <x:v>63</x:v>
      </x:c>
      <x:c r="G21" s="26" t="n">
        <x:v>1429</x:v>
      </x:c>
      <x:c r="H21" s="26" t="n">
        <x:v>1816</x:v>
      </x:c>
      <x:c r="I21" s="26" t="n">
        <x:v>0.0050151621180312</x:v>
      </x:c>
      <x:c r="J21" s="26" t="n">
        <x:v>0.010289246</x:v>
      </x:c>
      <x:c r="K21" s="26" t="n">
        <x:v>0.0050151621180312</x:v>
      </x:c>
      <x:c r="L21" s="26" t="n">
        <x:v>0.0050151621180312</x:v>
      </x:c>
      <x:c r="M21" s="26" t="n">
        <x:v>11</x:v>
      </x:c>
      <x:c r="N21" s="26" t="n">
        <x:v>197</x:v>
      </x:c>
      <x:c r="O21" s="26" t="n">
        <x:v>197</x:v>
      </x:c>
      <x:c r="P21" s="26" t="n">
        <x:v>0.0101522842639593</x:v>
      </x:c>
      <x:c r="Q21" s="26" t="n">
        <x:v>0.02390863</x:v>
      </x:c>
      <x:c r="R21" s="26" t="n">
        <x:v>0.0101522842639593</x:v>
      </x:c>
      <x:c r="S21" s="26" t="n">
        <x:v>0.0101522842639593</x:v>
      </x:c>
      <x:c r="T21" s="41" t="b">
        <x:v>1</x:v>
      </x:c>
    </x:row>
    <x:row r="22">
      <x:c r="A22" s="25" t="str">
        <x:v>DRUG GM</x:v>
      </x:c>
      <x:c r="B22" s="26" t="str">
        <x:v>SHAVING CARE PRODUCTS</x:v>
      </x:c>
      <x:c r="C22" s="39" t="b">
        <x:v>1</x:v>
      </x:c>
      <x:c r="D22" s="39" t="b">
        <x:v>1</x:v>
      </x:c>
      <x:c r="E22" s="39" t="b">
        <x:v>1</x:v>
      </x:c>
      <x:c r="F22" s="26" t="n">
        <x:v>179</x:v>
      </x:c>
      <x:c r="G22" s="26" t="n">
        <x:v>4279</x:v>
      </x:c>
      <x:c r="H22" s="26" t="n">
        <x:v>6413</x:v>
      </x:c>
      <x:c r="I22" s="26" t="n">
        <x:v>0.0010126976707953</x:v>
      </x:c>
      <x:c r="J22" s="26" t="n">
        <x:v>0.005736737</x:v>
      </x:c>
      <x:c r="K22" s="26" t="n">
        <x:v>0.0011295474020409</x:v>
      </x:c>
      <x:c r="L22" s="26" t="n">
        <x:v>0.0007789982083041</x:v>
      </x:c>
      <x:c r="M22" s="26" t="n">
        <x:v>81</x:v>
      </x:c>
      <x:c r="N22" s="26" t="n">
        <x:v>1335</x:v>
      </x:c>
      <x:c r="O22" s="26" t="n">
        <x:v>1761</x:v>
      </x:c>
      <x:c r="P22" s="26" t="n">
        <x:v>0.0054931335830212</x:v>
      </x:c>
      <x:c r="Q22" s="26" t="n">
        <x:v>0.048228465</x:v>
      </x:c>
      <x:c r="R22" s="26" t="n">
        <x:v>0.0054931335830212</x:v>
      </x:c>
      <x:c r="S22" s="26" t="n">
        <x:v>0.0054931335830212</x:v>
      </x:c>
      <x:c r="T22" s="41" t="b">
        <x:v>1</x:v>
      </x:c>
    </x:row>
    <x:row r="23">
      <x:c r="A23" s="25" t="str">
        <x:v>DRUG GM</x:v>
      </x:c>
      <x:c r="B23" s="26" t="str">
        <x:v>SOAP - LIQUID &amp; BAR</x:v>
      </x:c>
      <x:c r="C23" s="39" t="b">
        <x:v>1</x:v>
      </x:c>
      <x:c r="D23" s="39" t="b">
        <x:v>1</x:v>
      </x:c>
      <x:c r="E23" s="39" t="b">
        <x:v>1</x:v>
      </x:c>
      <x:c r="F23" s="26" t="n">
        <x:v>284</x:v>
      </x:c>
      <x:c r="G23" s="26" t="n">
        <x:v>8299</x:v>
      </x:c>
      <x:c r="H23" s="26" t="n">
        <x:v>13864</x:v>
      </x:c>
      <x:c r="I23" s="26" t="n">
        <x:v>0.0025635618749246</x:v>
      </x:c>
      <x:c r="J23" s="26" t="n">
        <x:v>0.0066503594</x:v>
      </x:c>
      <x:c r="K23" s="26" t="n">
        <x:v>0.00439109129614</x:v>
      </x:c>
      <x:c r="L23" s="26" t="n">
        <x:v>0.0028969353737398</x:v>
      </x:c>
      <x:c r="M23" s="26" t="n">
        <x:v>139</x:v>
      </x:c>
      <x:c r="N23" s="26" t="n">
        <x:v>2300</x:v>
      </x:c>
      <x:c r="O23" s="26" t="n">
        <x:v>2781</x:v>
      </x:c>
      <x:c r="P23" s="26" t="n">
        <x:v>0.0018840579710144</x:v>
      </x:c>
      <x:c r="Q23" s="26" t="n">
        <x:v>0.0040753623</x:v>
      </x:c>
      <x:c r="R23" s="26" t="n">
        <x:v>0.0066666666666666</x:v>
      </x:c>
      <x:c r="S23" s="26" t="n">
        <x:v>0.0027536231884057</x:v>
      </x:c>
      <x:c r="T23" s="41" t="b">
        <x:v>1</x:v>
      </x:c>
    </x:row>
    <x:row r="24">
      <x:c r="A24" s="25" t="str">
        <x:v>DRUG GM</x:v>
      </x:c>
      <x:c r="B24" s="26" t="str">
        <x:v>SPRING/SUMMER SEASONAL</x:v>
      </x:c>
      <x:c r="C24" s="39" t="b">
        <x:v>1</x:v>
      </x:c>
      <x:c r="D24" s="39" t="b">
        <x:v>1</x:v>
      </x:c>
      <x:c r="E24" s="39" t="b">
        <x:v>1</x:v>
      </x:c>
      <x:c r="F24" s="26" t="n">
        <x:v>89</x:v>
      </x:c>
      <x:c r="G24" s="26" t="n">
        <x:v>441</x:v>
      </x:c>
      <x:c r="H24" s="26" t="n">
        <x:v>613</x:v>
      </x:c>
      <x:c r="I24" s="26" t="n">
        <x:v>0.0086923658352229</x:v>
      </x:c>
      <x:c r="J24" s="26" t="n">
        <x:v>0.048333332</x:v>
      </x:c>
      <x:c r="K24" s="26" t="n">
        <x:v>0.0245653817082388</x:v>
      </x:c>
      <x:c r="L24" s="26" t="n">
        <x:v>0.0086923658352229</x:v>
      </x:c>
      <x:c r="M24" s="26" t="n">
        <x:v>47</x:v>
      </x:c>
      <x:c r="N24" s="26" t="n">
        <x:v>219</x:v>
      </x:c>
      <x:c r="O24" s="26" t="n">
        <x:v>250</x:v>
      </x:c>
      <x:c r="P24" s="26" t="n">
        <x:v>0.0091324200913242</x:v>
      </x:c>
      <x:c r="Q24" s="26" t="n">
        <x:v>0.050182648</x:v>
      </x:c>
      <x:c r="R24" s="26" t="n">
        <x:v>0.0410958904109589</x:v>
      </x:c>
      <x:c r="S24" s="26" t="n">
        <x:v>0.0091324200913242</x:v>
      </x:c>
      <x:c r="T24" s="41" t="b">
        <x:v>1</x:v>
      </x:c>
    </x:row>
    <x:row r="25">
      <x:c r="A25" s="25" t="str">
        <x:v>DRUG GM</x:v>
      </x:c>
      <x:c r="B25" s="26" t="str">
        <x:v>STATIONERY &amp; SCHOOL SUPPLIES</x:v>
      </x:c>
      <x:c r="C25" s="39" t="b">
        <x:v>1</x:v>
      </x:c>
      <x:c r="D25" s="39" t="b">
        <x:v>1</x:v>
      </x:c>
      <x:c r="E25" s="39" t="b">
        <x:v>1</x:v>
      </x:c>
      <x:c r="F25" s="26" t="n">
        <x:v>127</x:v>
      </x:c>
      <x:c r="G25" s="26" t="n">
        <x:v>1545</x:v>
      </x:c>
      <x:c r="H25" s="26" t="n">
        <x:v>2046</x:v>
      </x:c>
      <x:c r="I25" s="26" t="n">
        <x:v>0.0053074433656957</x:v>
      </x:c>
      <x:c r="J25" s="26" t="n">
        <x:v>0.010204422</x:v>
      </x:c>
      <x:c r="K25" s="26" t="n">
        <x:v>0.01126213592233</x:v>
      </x:c>
      <x:c r="L25" s="26" t="n">
        <x:v>0.0057928802588996</x:v>
      </x:c>
      <x:c r="M25" s="26" t="n">
        <x:v>30</x:v>
      </x:c>
      <x:c r="N25" s="26" t="n">
        <x:v>472</x:v>
      </x:c>
      <x:c r="O25" s="26" t="n">
        <x:v>651</x:v>
      </x:c>
      <x:c r="P25" s="26" t="n">
        <x:v>0.0098870056497175</x:v>
      </x:c>
      <x:c r="Q25" s="26" t="n">
        <x:v>0.0238524</x:v>
      </x:c>
      <x:c r="R25" s="26" t="n">
        <x:v>0.0391949152542372</x:v>
      </x:c>
      <x:c r="S25" s="26" t="n">
        <x:v>0.0130649717514124</x:v>
      </x:c>
      <x:c r="T25" s="41" t="b">
        <x:v>1</x:v>
      </x:c>
    </x:row>
    <x:row r="26">
      <x:c r="A26" s="25" t="str">
        <x:v>FLORAL</x:v>
      </x:c>
      <x:c r="B26" s="26" t="str">
        <x:v>FLORAL-FRESH CUT</x:v>
      </x:c>
      <x:c r="C26" s="39" t="b">
        <x:v>1</x:v>
      </x:c>
      <x:c r="D26" s="39" t="b">
        <x:v>1</x:v>
      </x:c>
      <x:c r="E26" s="39" t="b">
        <x:v>1</x:v>
      </x:c>
      <x:c r="F26" s="26" t="n">
        <x:v>36</x:v>
      </x:c>
      <x:c r="G26" s="26" t="n">
        <x:v>224</x:v>
      </x:c>
      <x:c r="H26" s="26" t="n">
        <x:v>308</x:v>
      </x:c>
      <x:c r="I26" s="26" t="n">
        <x:v>0.0023809523809523</x:v>
      </x:c>
      <x:c r="J26" s="26" t="n">
        <x:v>0.008519345</x:v>
      </x:c>
      <x:c r="K26" s="26" t="n">
        <x:v>0.0055059523809523</x:v>
      </x:c>
      <x:c r="L26" s="26" t="n">
        <x:v>0.0023809523809523</x:v>
      </x:c>
      <x:c r="M26" s="26" t="n">
        <x:v>18</x:v>
      </x:c>
      <x:c r="N26" s="26" t="n">
        <x:v>303</x:v>
      </x:c>
      <x:c r="O26" s="26" t="n">
        <x:v>327</x:v>
      </x:c>
      <x:c r="P26" s="26" t="n">
        <x:v>0.0181518151815181</x:v>
      </x:c>
      <x:c r="Q26" s="26" t="n">
        <x:v>0.11054455</x:v>
      </x:c>
      <x:c r="R26" s="26" t="n">
        <x:v>0.0247524752475247</x:v>
      </x:c>
      <x:c r="S26" s="26" t="n">
        <x:v>0.0181518151815181</x:v>
      </x:c>
      <x:c r="T26" s="41" t="b">
        <x:v>1</x:v>
      </x:c>
    </x:row>
    <x:row r="27">
      <x:c r="A27" s="25" t="str">
        <x:v>FLORAL</x:v>
      </x:c>
      <x:c r="B27" s="26" t="str">
        <x:v>ROSES</x:v>
      </x:c>
      <x:c r="C27" s="39" t="b">
        <x:v>1</x:v>
      </x:c>
      <x:c r="D27" s="39" t="b">
        <x:v>1</x:v>
      </x:c>
      <x:c r="E27" s="39" t="b">
        <x:v>1</x:v>
      </x:c>
      <x:c r="F27" s="26" t="n">
        <x:v>7</x:v>
      </x:c>
      <x:c r="G27" s="26" t="n">
        <x:v>33</x:v>
      </x:c>
      <x:c r="H27" s="26" t="n">
        <x:v>41</x:v>
      </x:c>
      <x:c r="I27" s="26" t="n">
        <x:v>0.0303030303030303</x:v>
      </x:c>
      <x:c r="J27" s="26" t="n">
        <x:v>0.39363635</x:v>
      </x:c>
      <x:c r="K27" s="26" t="n">
        <x:v>0.0606060606060606</x:v>
      </x:c>
      <x:c r="L27" s="26" t="n">
        <x:v>0.0303030303030303</x:v>
      </x:c>
      <x:c r="M27" s="26" t="n">
        <x:v>6</x:v>
      </x:c>
      <x:c r="N27" s="26" t="n">
        <x:v>92</x:v>
      </x:c>
      <x:c r="O27" s="26" t="n">
        <x:v>99</x:v>
      </x:c>
      <x:c r="P27" s="26" t="n">
        <x:v>0.0108695652173913</x:v>
      </x:c>
      <x:c r="Q27" s="26" t="n">
        <x:v>0.10858695</x:v>
      </x:c>
      <x:c r="R27" s="26" t="n">
        <x:v>0.0108695652173913</x:v>
      </x:c>
      <x:c r="S27" s="26" t="n">
        <x:v>0.0108695652173913</x:v>
      </x:c>
      <x:c r="T27" s="41" t="b">
        <x:v>1</x:v>
      </x:c>
    </x:row>
    <x:row r="28">
      <x:c r="A28" s="25" t="str">
        <x:v>GROCERY</x:v>
      </x:c>
      <x:c r="B28" s="26" t="str">
        <x:v>AIR CARE</x:v>
      </x:c>
      <x:c r="C28" s="39" t="b">
        <x:v>1</x:v>
      </x:c>
      <x:c r="D28" s="39" t="b">
        <x:v>1</x:v>
      </x:c>
      <x:c r="E28" s="39" t="b">
        <x:v>1</x:v>
      </x:c>
      <x:c r="F28" s="26" t="n">
        <x:v>122</x:v>
      </x:c>
      <x:c r="G28" s="26" t="n">
        <x:v>2779</x:v>
      </x:c>
      <x:c r="H28" s="26" t="n">
        <x:v>3334</x:v>
      </x:c>
      <x:c r="I28" s="26" t="n">
        <x:v>0.000539762504498</x:v>
      </x:c>
      <x:c r="J28" s="26" t="n">
        <x:v>0.0054821875</x:v>
      </x:c>
      <x:c r="K28" s="26" t="n">
        <x:v>0.0008996041741633</x:v>
      </x:c>
      <x:c r="L28" s="26" t="n">
        <x:v>0.0001799208348326</x:v>
      </x:c>
      <x:c r="M28" s="26" t="n">
        <x:v>41</x:v>
      </x:c>
      <x:c r="N28" s="26" t="n">
        <x:v>253</x:v>
      </x:c>
      <x:c r="O28" s="26" t="n">
        <x:v>253</x:v>
      </x:c>
      <x:c r="P28" s="26" t="n">
        <x:v>0.0118577075098814</x:v>
      </x:c>
      <x:c r="Q28" s="26" t="n">
        <x:v>0.011857707</x:v>
      </x:c>
      <x:c r="R28" s="26" t="n">
        <x:v>0.0118577075098814</x:v>
      </x:c>
      <x:c r="S28" s="26" t="n">
        <x:v>0.0118577075098814</x:v>
      </x:c>
      <x:c r="T28" s="41" t="b">
        <x:v>1</x:v>
      </x:c>
    </x:row>
    <x:row r="29">
      <x:c r="A29" s="25" t="str">
        <x:v>GROCERY</x:v>
      </x:c>
      <x:c r="B29" s="26" t="str">
        <x:v>BAG SNACKS</x:v>
      </x:c>
      <x:c r="C29" s="39" t="b">
        <x:v>1</x:v>
      </x:c>
      <x:c r="D29" s="39" t="b">
        <x:v>1</x:v>
      </x:c>
      <x:c r="E29" s="39" t="b">
        <x:v>1</x:v>
      </x:c>
      <x:c r="F29" s="26" t="n">
        <x:v>688</x:v>
      </x:c>
      <x:c r="G29" s="26" t="n">
        <x:v>33319</x:v>
      </x:c>
      <x:c r="H29" s="26" t="n">
        <x:v>225261</x:v>
      </x:c>
      <x:c r="I29" s="26" t="n">
        <x:v>0.0059072410986806</x:v>
      </x:c>
      <x:c r="J29" s="26" t="n">
        <x:v>0.010111869</x:v>
      </x:c>
      <x:c r="K29" s="26" t="n">
        <x:v>0.0085857666714655</x:v>
      </x:c>
      <x:c r="L29" s="26" t="n">
        <x:v>0.0071701988414934</x:v>
      </x:c>
      <x:c r="M29" s="26" t="n">
        <x:v>446</x:v>
      </x:c>
      <x:c r="N29" s="26" t="n">
        <x:v>27535</x:v>
      </x:c>
      <x:c r="O29" s="26" t="n">
        <x:v>115241</x:v>
      </x:c>
      <x:c r="P29" s="26" t="n">
        <x:v>0.0054281584521467</x:v>
      </x:c>
      <x:c r="Q29" s="26" t="n">
        <x:v>0.01333045</x:v>
      </x:c>
      <x:c r="R29" s="26" t="n">
        <x:v>0.0075512610164932</x:v>
      </x:c>
      <x:c r="S29" s="26" t="n">
        <x:v>0.0065095309838589</x:v>
      </x:c>
      <x:c r="T29" s="41" t="b">
        <x:v>1</x:v>
      </x:c>
    </x:row>
    <x:row r="30">
      <x:c r="A30" s="25" t="str">
        <x:v>GROCERY</x:v>
      </x:c>
      <x:c r="B30" s="26" t="str">
        <x:v>BAKED BREAD/BUNS/ROLLS</x:v>
      </x:c>
      <x:c r="C30" s="39" t="b">
        <x:v>1</x:v>
      </x:c>
      <x:c r="D30" s="39" t="b">
        <x:v>1</x:v>
      </x:c>
      <x:c r="E30" s="39" t="b">
        <x:v>1</x:v>
      </x:c>
      <x:c r="F30" s="26" t="n">
        <x:v>395</x:v>
      </x:c>
      <x:c r="G30" s="26" t="n">
        <x:v>10681</x:v>
      </x:c>
      <x:c r="H30" s="26" t="n">
        <x:v>70114</x:v>
      </x:c>
      <x:c r="I30" s="26" t="n">
        <x:v>0.0123572255779402</x:v>
      </x:c>
      <x:c r="J30" s="26" t="n">
        <x:v>0.018431854</x:v>
      </x:c>
      <x:c r="K30" s="26" t="n">
        <x:v>0.0283130580059331</x:v>
      </x:c>
      <x:c r="L30" s="26" t="n">
        <x:v>0.0201056582229297</x:v>
      </x:c>
      <x:c r="M30" s="26" t="n">
        <x:v>219</x:v>
      </x:c>
      <x:c r="N30" s="26" t="n">
        <x:v>9470</x:v>
      </x:c>
      <x:c r="O30" s="26" t="n">
        <x:v>35675</x:v>
      </x:c>
      <x:c r="P30" s="26" t="n">
        <x:v>0.0080558772086972</x:v>
      </x:c>
      <x:c r="Q30" s="26" t="n">
        <x:v>0.01467869</x:v>
      </x:c>
      <x:c r="R30" s="26" t="n">
        <x:v>0.0157019540080599</x:v>
      </x:c>
      <x:c r="S30" s="26" t="n">
        <x:v>0.0105823210683761</x:v>
      </x:c>
      <x:c r="T30" s="41" t="b">
        <x:v>1</x:v>
      </x:c>
    </x:row>
    <x:row r="31">
      <x:c r="A31" s="25" t="str">
        <x:v>GROCERY</x:v>
      </x:c>
      <x:c r="B31" s="26" t="str">
        <x:v>BAKED SWEET GOODS</x:v>
      </x:c>
      <x:c r="C31" s="39" t="b">
        <x:v>1</x:v>
      </x:c>
      <x:c r="D31" s="39" t="b">
        <x:v>1</x:v>
      </x:c>
      <x:c r="E31" s="39" t="b">
        <x:v>1</x:v>
      </x:c>
      <x:c r="F31" s="26" t="n">
        <x:v>255</x:v>
      </x:c>
      <x:c r="G31" s="26" t="n">
        <x:v>4625</x:v>
      </x:c>
      <x:c r="H31" s="26" t="n">
        <x:v>10692</x:v>
      </x:c>
      <x:c r="I31" s="26" t="n">
        <x:v>0.0072834912834912</x:v>
      </x:c>
      <x:c r="J31" s="26" t="n">
        <x:v>0.0074876724</x:v>
      </x:c>
      <x:c r="K31" s="26" t="n">
        <x:v>0.0060534612534612</x:v>
      </x:c>
      <x:c r="L31" s="26" t="n">
        <x:v>0.0065615693615693</x:v>
      </x:c>
      <x:c r="M31" s="26" t="n">
        <x:v>130</x:v>
      </x:c>
      <x:c r="N31" s="26" t="n">
        <x:v>3772</x:v>
      </x:c>
      <x:c r="O31" s="26" t="n">
        <x:v>4772</x:v>
      </x:c>
      <x:c r="P31" s="26" t="n">
        <x:v>0.0065747613997879</x:v>
      </x:c>
      <x:c r="Q31" s="26" t="n">
        <x:v>0.00883837</x:v>
      </x:c>
      <x:c r="R31" s="26" t="n">
        <x:v>0.0065526687875574</x:v>
      </x:c>
      <x:c r="S31" s="26" t="n">
        <x:v>0.0092700600919052</x:v>
      </x:c>
      <x:c r="T31" s="41" t="b">
        <x:v>1</x:v>
      </x:c>
    </x:row>
    <x:row r="32">
      <x:c r="A32" s="25" t="str">
        <x:v>GROCERY</x:v>
      </x:c>
      <x:c r="B32" s="26" t="str">
        <x:v>BAKING MIXES</x:v>
      </x:c>
      <x:c r="C32" s="39" t="b">
        <x:v>1</x:v>
      </x:c>
      <x:c r="D32" s="39" t="b">
        <x:v>1</x:v>
      </x:c>
      <x:c r="E32" s="39" t="b">
        <x:v>1</x:v>
      </x:c>
      <x:c r="F32" s="26" t="n">
        <x:v>216</x:v>
      </x:c>
      <x:c r="G32" s="26" t="n">
        <x:v>4354</x:v>
      </x:c>
      <x:c r="H32" s="26" t="n">
        <x:v>9208</x:v>
      </x:c>
      <x:c r="I32" s="26" t="n">
        <x:v>0.0014978928334463</x:v>
      </x:c>
      <x:c r="J32" s="26" t="n">
        <x:v>0.0015606997</x:v>
      </x:c>
      <x:c r="K32" s="26" t="n">
        <x:v>0.0047014786622044</x:v>
      </x:c>
      <x:c r="L32" s="26" t="n">
        <x:v>0.0010972395389023</x:v>
      </x:c>
      <x:c r="M32" s="26" t="n">
        <x:v>132</x:v>
      </x:c>
      <x:c r="N32" s="26" t="n">
        <x:v>3134</x:v>
      </x:c>
      <x:c r="O32" s="26" t="n">
        <x:v>4366</x:v>
      </x:c>
      <x:c r="P32" s="26" t="n">
        <x:v>0.0056211444373537</x:v>
      </x:c>
      <x:c r="Q32" s="26" t="n">
        <x:v>0.0052075093</x:v>
      </x:c>
      <x:c r="R32" s="26" t="n">
        <x:v>0.0061369921293341</x:v>
      </x:c>
      <x:c r="S32" s="26" t="n">
        <x:v>0.0053286534779834</x:v>
      </x:c>
      <x:c r="T32" s="41" t="b">
        <x:v>1</x:v>
      </x:c>
    </x:row>
    <x:row r="33">
      <x:c r="A33" s="25" t="str">
        <x:v>GROCERY</x:v>
      </x:c>
      <x:c r="B33" s="26" t="str">
        <x:v>BAKING NEEDS</x:v>
      </x:c>
      <x:c r="C33" s="39" t="b">
        <x:v>1</x:v>
      </x:c>
      <x:c r="D33" s="39" t="b">
        <x:v>1</x:v>
      </x:c>
      <x:c r="E33" s="39" t="b">
        <x:v>1</x:v>
      </x:c>
      <x:c r="F33" s="26" t="n">
        <x:v>40</x:v>
      </x:c>
      <x:c r="G33" s="26" t="n">
        <x:v>1884</x:v>
      </x:c>
      <x:c r="H33" s="26" t="n">
        <x:v>4356</x:v>
      </x:c>
      <x:c r="I33" s="26" t="n">
        <x:v>0.0094391365888181</x:v>
      </x:c>
      <x:c r="J33" s="26" t="n">
        <x:v>0.02436412</x:v>
      </x:c>
      <x:c r="K33" s="26" t="n">
        <x:v>0.0127300070771408</x:v>
      </x:c>
      <x:c r="L33" s="26" t="n">
        <x:v>0.0095629865534324</x:v>
      </x:c>
      <x:c r="M33" s="26" t="n">
        <x:v>20</x:v>
      </x:c>
      <x:c r="N33" s="26" t="n">
        <x:v>758</x:v>
      </x:c>
      <x:c r="O33" s="26" t="n">
        <x:v>900</x:v>
      </x:c>
      <x:c r="P33" s="26" t="n">
        <x:v>0.0105540897097625</x:v>
      </x:c>
      <x:c r="Q33" s="26" t="n">
        <x:v>0.016675463</x:v>
      </x:c>
      <x:c r="R33" s="26" t="n">
        <x:v>0.0098944591029023</x:v>
      </x:c>
      <x:c r="S33" s="26" t="n">
        <x:v>0.0098944591029023</x:v>
      </x:c>
      <x:c r="T33" s="41" t="b">
        <x:v>1</x:v>
      </x:c>
    </x:row>
    <x:row r="34">
      <x:c r="A34" s="25" t="str">
        <x:v>GROCERY</x:v>
      </x:c>
      <x:c r="B34" s="26" t="str">
        <x:v>BATH TISSUES</x:v>
      </x:c>
      <x:c r="C34" s="39" t="b">
        <x:v>1</x:v>
      </x:c>
      <x:c r="D34" s="39" t="b">
        <x:v>1</x:v>
      </x:c>
      <x:c r="E34" s="39" t="b">
        <x:v>1</x:v>
      </x:c>
      <x:c r="F34" s="26" t="n">
        <x:v>89</x:v>
      </x:c>
      <x:c r="G34" s="26" t="n">
        <x:v>4289</x:v>
      </x:c>
      <x:c r="H34" s="26" t="n">
        <x:v>12280</x:v>
      </x:c>
      <x:c r="I34" s="26" t="n">
        <x:v>0.0107819947467884</x:v>
      </x:c>
      <x:c r="J34" s="26" t="n">
        <x:v>0.08637134</x:v>
      </x:c>
      <x:c r="K34" s="26" t="n">
        <x:v>0.0176832778371598</x:v>
      </x:c>
      <x:c r="L34" s="26" t="n">
        <x:v>0.0161847970428059</x:v>
      </x:c>
      <x:c r="M34" s="26" t="n">
        <x:v>81</x:v>
      </x:c>
      <x:c r="N34" s="26" t="n">
        <x:v>4273</x:v>
      </x:c>
      <x:c r="O34" s="26" t="n">
        <x:v>9780</x:v>
      </x:c>
      <x:c r="P34" s="26" t="n">
        <x:v>0.008588627743788</x:v>
      </x:c>
      <x:c r="Q34" s="26" t="n">
        <x:v>0.060550947</x:v>
      </x:c>
      <x:c r="R34" s="26" t="n">
        <x:v>0.0144496264844966</x:v>
      </x:c>
      <x:c r="S34" s="26" t="n">
        <x:v>0.0109447843416951</x:v>
      </x:c>
      <x:c r="T34" s="41" t="b">
        <x:v>1</x:v>
      </x:c>
    </x:row>
    <x:row r="35">
      <x:c r="A35" s="25" t="str">
        <x:v>GROCERY</x:v>
      </x:c>
      <x:c r="B35" s="26" t="str">
        <x:v>BEANS - CANNED GLASS &amp; MW</x:v>
      </x:c>
      <x:c r="C35" s="39" t="b">
        <x:v>1</x:v>
      </x:c>
      <x:c r="D35" s="39" t="b">
        <x:v>1</x:v>
      </x:c>
      <x:c r="E35" s="39" t="b">
        <x:v>1</x:v>
      </x:c>
      <x:c r="F35" s="26" t="n">
        <x:v>111</x:v>
      </x:c>
      <x:c r="G35" s="26" t="n">
        <x:v>3781</x:v>
      </x:c>
      <x:c r="H35" s="26" t="n">
        <x:v>13424</x:v>
      </x:c>
      <x:c r="I35" s="26" t="n">
        <x:v>0.0083346778996078</x:v>
      </x:c>
      <x:c r="J35" s="26" t="n">
        <x:v>0.011091714</x:v>
      </x:c>
      <x:c r="K35" s="26" t="n">
        <x:v>0.0235627636050804</x:v>
      </x:c>
      <x:c r="L35" s="26" t="n">
        <x:v>0.0088580855507594</x:v>
      </x:c>
      <x:c r="M35" s="26" t="n">
        <x:v>32</x:v>
      </x:c>
      <x:c r="N35" s="26" t="n">
        <x:v>2285</x:v>
      </x:c>
      <x:c r="O35" s="26" t="n">
        <x:v>5484</x:v>
      </x:c>
      <x:c r="P35" s="26" t="n">
        <x:v>0.0081744295092216</x:v>
      </x:c>
      <x:c r="Q35" s="26" t="n">
        <x:v>0.012044358</x:v>
      </x:c>
      <x:c r="R35" s="26" t="n">
        <x:v>0.0202792539335208</x:v>
      </x:c>
      <x:c r="S35" s="26" t="n">
        <x:v>0.0083203084297176</x:v>
      </x:c>
      <x:c r="T35" s="41" t="b">
        <x:v>1</x:v>
      </x:c>
    </x:row>
    <x:row r="36">
      <x:c r="A36" s="25" t="str">
        <x:v>GROCERY</x:v>
      </x:c>
      <x:c r="B36" s="26" t="str">
        <x:v>BUTTER</x:v>
      </x:c>
      <x:c r="C36" s="39" t="b">
        <x:v>1</x:v>
      </x:c>
      <x:c r="D36" s="39" t="b">
        <x:v>1</x:v>
      </x:c>
      <x:c r="E36" s="39" t="b">
        <x:v>1</x:v>
      </x:c>
      <x:c r="F36" s="26" t="n">
        <x:v>28</x:v>
      </x:c>
      <x:c r="G36" s="26" t="n">
        <x:v>1387</x:v>
      </x:c>
      <x:c r="H36" s="26" t="n">
        <x:v>5138</x:v>
      </x:c>
      <x:c r="I36" s="26" t="n">
        <x:v>0.027501071787301</x:v>
      </x:c>
      <x:c r="J36" s="26" t="n">
        <x:v>0.09475519</x:v>
      </x:c>
      <x:c r="K36" s="26" t="n">
        <x:v>0.0503161002259776</x:v>
      </x:c>
      <x:c r="L36" s="26" t="n">
        <x:v>0.0368042956002581</x:v>
      </x:c>
      <x:c r="M36" s="26" t="n">
        <x:v>28</x:v>
      </x:c>
      <x:c r="N36" s="26" t="n">
        <x:v>2006</x:v>
      </x:c>
      <x:c r="O36" s="26" t="n">
        <x:v>5142</x:v>
      </x:c>
      <x:c r="P36" s="26" t="n">
        <x:v>0.0096005633891974</x:v>
      </x:c>
      <x:c r="Q36" s="26" t="n">
        <x:v>0.030029608</x:v>
      </x:c>
      <x:c r="R36" s="26" t="n">
        <x:v>0.0115791514345851</x:v>
      </x:c>
      <x:c r="S36" s="26" t="n">
        <x:v>0.009258731741284</x:v>
      </x:c>
      <x:c r="T36" s="41" t="b">
        <x:v>1</x:v>
      </x:c>
    </x:row>
    <x:row r="37">
      <x:c r="A37" s="25" t="str">
        <x:v>GROCERY</x:v>
      </x:c>
      <x:c r="B37" s="26" t="str">
        <x:v>CANNED JUICES</x:v>
      </x:c>
      <x:c r="C37" s="39" t="b">
        <x:v>1</x:v>
      </x:c>
      <x:c r="D37" s="39" t="b">
        <x:v>1</x:v>
      </x:c>
      <x:c r="E37" s="39" t="b">
        <x:v>1</x:v>
      </x:c>
      <x:c r="F37" s="26" t="n">
        <x:v>327</x:v>
      </x:c>
      <x:c r="G37" s="26" t="n">
        <x:v>10010</x:v>
      </x:c>
      <x:c r="H37" s="26" t="n">
        <x:v>29716</x:v>
      </x:c>
      <x:c r="I37" s="26" t="n">
        <x:v>0.0070097412854655</x:v>
      </x:c>
      <x:c r="J37" s="26" t="n">
        <x:v>0.029812496</x:v>
      </x:c>
      <x:c r="K37" s="26" t="n">
        <x:v>0.0160630292673249</x:v>
      </x:c>
      <x:c r="L37" s="26" t="n">
        <x:v>0.008894404241557</x:v>
      </x:c>
      <x:c r="M37" s="26" t="n">
        <x:v>242</x:v>
      </x:c>
      <x:c r="N37" s="26" t="n">
        <x:v>7474</x:v>
      </x:c>
      <x:c r="O37" s="26" t="n">
        <x:v>16086</x:v>
      </x:c>
      <x:c r="P37" s="26" t="n">
        <x:v>0.0027920649207777</x:v>
      </x:c>
      <x:c r="Q37" s="26" t="n">
        <x:v>0.01886794</x:v>
      </x:c>
      <x:c r="R37" s="26" t="n">
        <x:v>0.0087529409311587</x:v>
      </x:c>
      <x:c r="S37" s="26" t="n">
        <x:v>0.0050572190423675</x:v>
      </x:c>
      <x:c r="T37" s="41" t="b">
        <x:v>1</x:v>
      </x:c>
    </x:row>
    <x:row r="38">
      <x:c r="A38" s="25" t="str">
        <x:v>GROCERY</x:v>
      </x:c>
      <x:c r="B38" s="26" t="str">
        <x:v>CHEESE</x:v>
      </x:c>
      <x:c r="C38" s="39" t="b">
        <x:v>1</x:v>
      </x:c>
      <x:c r="D38" s="39" t="b">
        <x:v>1</x:v>
      </x:c>
      <x:c r="E38" s="39" t="b">
        <x:v>1</x:v>
      </x:c>
      <x:c r="F38" s="26" t="n">
        <x:v>561</x:v>
      </x:c>
      <x:c r="G38" s="26" t="n">
        <x:v>14949</x:v>
      </x:c>
      <x:c r="H38" s="26" t="n">
        <x:v>69456</x:v>
      </x:c>
      <x:c r="I38" s="26" t="n">
        <x:v>0.00648267306161</x:v>
      </x:c>
      <x:c r="J38" s="26" t="n">
        <x:v>0.015939265</x:v>
      </x:c>
      <x:c r="K38" s="26" t="n">
        <x:v>0.0143873562729899</x:v>
      </x:c>
      <x:c r="L38" s="26" t="n">
        <x:v>0.0086729628833674</x:v>
      </x:c>
      <x:c r="M38" s="26" t="n">
        <x:v>528</x:v>
      </x:c>
      <x:c r="N38" s="26" t="n">
        <x:v>28101</x:v>
      </x:c>
      <x:c r="O38" s="26" t="n">
        <x:v>122884</x:v>
      </x:c>
      <x:c r="P38" s="26" t="n">
        <x:v>0.0073847764661201</x:v>
      </x:c>
      <x:c r="Q38" s="26" t="n">
        <x:v>0.01799717</x:v>
      </x:c>
      <x:c r="R38" s="26" t="n">
        <x:v>0.0119711271667814</x:v>
      </x:c>
      <x:c r="S38" s="26" t="n">
        <x:v>0.008580500974072</x:v>
      </x:c>
      <x:c r="T38" s="41" t="b">
        <x:v>1</x:v>
      </x:c>
    </x:row>
    <x:row r="39">
      <x:c r="A39" s="25" t="str">
        <x:v>GROCERY</x:v>
      </x:c>
      <x:c r="B39" s="26" t="str">
        <x:v>COFFEE</x:v>
      </x:c>
      <x:c r="C39" s="39" t="b">
        <x:v>1</x:v>
      </x:c>
      <x:c r="D39" s="39" t="b">
        <x:v>1</x:v>
      </x:c>
      <x:c r="E39" s="39" t="b">
        <x:v>1</x:v>
      </x:c>
      <x:c r="F39" s="26" t="n">
        <x:v>161</x:v>
      </x:c>
      <x:c r="G39" s="26" t="n">
        <x:v>5089</x:v>
      </x:c>
      <x:c r="H39" s="26" t="n">
        <x:v>15835</x:v>
      </x:c>
      <x:c r="I39" s="26" t="n">
        <x:v>0.00205479549162</x:v>
      </x:c>
      <x:c r="J39" s="26" t="n">
        <x:v>0.014608525</x:v>
      </x:c>
      <x:c r="K39" s="26" t="n">
        <x:v>0.0032962686971333</x:v>
      </x:c>
      <x:c r="L39" s="26" t="n">
        <x:v>0.0027998665599373</x:v>
      </x:c>
      <x:c r="M39" s="26" t="n">
        <x:v>100</x:v>
      </x:c>
      <x:c r="N39" s="26" t="n">
        <x:v>3586</x:v>
      </x:c>
      <x:c r="O39" s="26" t="n">
        <x:v>5226</x:v>
      </x:c>
      <x:c r="P39" s="26" t="n">
        <x:v>0.0008040527979178</x:v>
      </x:c>
      <x:c r="Q39" s="26" t="n">
        <x:v>0.007623955</x:v>
      </x:c>
      <x:c r="R39" s="26" t="n">
        <x:v>0.0018265476854433</x:v>
      </x:c>
      <x:c r="S39" s="26" t="n">
        <x:v>0.0021518869678378</x:v>
      </x:c>
      <x:c r="T39" s="41" t="b">
        <x:v>1</x:v>
      </x:c>
    </x:row>
    <x:row r="40">
      <x:c r="A40" s="25" t="str">
        <x:v>GROCERY</x:v>
      </x:c>
      <x:c r="B40" s="26" t="str">
        <x:v>COLD CEREAL</x:v>
      </x:c>
      <x:c r="C40" s="39" t="b">
        <x:v>1</x:v>
      </x:c>
      <x:c r="D40" s="39" t="b">
        <x:v>1</x:v>
      </x:c>
      <x:c r="E40" s="39" t="b">
        <x:v>1</x:v>
      </x:c>
      <x:c r="F40" s="26" t="n">
        <x:v>466</x:v>
      </x:c>
      <x:c r="G40" s="26" t="n">
        <x:v>18271</x:v>
      </x:c>
      <x:c r="H40" s="26" t="n">
        <x:v>38616</x:v>
      </x:c>
      <x:c r="I40" s="26" t="n">
        <x:v>0.0071224651023238</x:v>
      </x:c>
      <x:c r="J40" s="26" t="n">
        <x:v>0.018243581</x:v>
      </x:c>
      <x:c r="K40" s="26" t="n">
        <x:v>0.0100224766567604</x:v>
      </x:c>
      <x:c r="L40" s="26" t="n">
        <x:v>0.008201936169754</x:v>
      </x:c>
      <x:c r="M40" s="26" t="n">
        <x:v>367</x:v>
      </x:c>
      <x:c r="N40" s="26" t="n">
        <x:v>16053</x:v>
      </x:c>
      <x:c r="O40" s="26" t="n">
        <x:v>25915</x:v>
      </x:c>
      <x:c r="P40" s="26" t="n">
        <x:v>0.0103168670445814</x:v>
      </x:c>
      <x:c r="Q40" s="26" t="n">
        <x:v>0.027849488</x:v>
      </x:c>
      <x:c r="R40" s="26" t="n">
        <x:v>0.0131263107622666</x:v>
      </x:c>
      <x:c r="S40" s="26" t="n">
        <x:v>0.0118378703876741</x:v>
      </x:c>
      <x:c r="T40" s="41" t="b">
        <x:v>1</x:v>
      </x:c>
    </x:row>
    <x:row r="41">
      <x:c r="A41" s="25" t="str">
        <x:v>GROCERY</x:v>
      </x:c>
      <x:c r="B41" s="26" t="str">
        <x:v>CONDIMENTS/SAUCES</x:v>
      </x:c>
      <x:c r="C41" s="39" t="b">
        <x:v>1</x:v>
      </x:c>
      <x:c r="D41" s="39" t="b">
        <x:v>1</x:v>
      </x:c>
      <x:c r="E41" s="39" t="b">
        <x:v>1</x:v>
      </x:c>
      <x:c r="F41" s="26" t="n">
        <x:v>166</x:v>
      </x:c>
      <x:c r="G41" s="26" t="n">
        <x:v>6329</x:v>
      </x:c>
      <x:c r="H41" s="26" t="n">
        <x:v>17719</x:v>
      </x:c>
      <x:c r="I41" s="26" t="n">
        <x:v>0.0052039992275416</x:v>
      </x:c>
      <x:c r="J41" s="26" t="n">
        <x:v>0.009788304</x:v>
      </x:c>
      <x:c r="K41" s="26" t="n">
        <x:v>0.0084928409663754</x:v>
      </x:c>
      <x:c r="L41" s="26" t="n">
        <x:v>0.0075968645213391</x:v>
      </x:c>
      <x:c r="M41" s="26" t="n">
        <x:v>115</x:v>
      </x:c>
      <x:c r="N41" s="26" t="n">
        <x:v>3146</x:v>
      </x:c>
      <x:c r="O41" s="26" t="n">
        <x:v>3985</x:v>
      </x:c>
      <x:c r="P41" s="26" t="n">
        <x:v>0.0084763721127357</x:v>
      </x:c>
      <x:c r="Q41" s="26" t="n">
        <x:v>0.017271932</x:v>
      </x:c>
      <x:c r="R41" s="26" t="n">
        <x:v>0.0164759482941301</x:v>
      </x:c>
      <x:c r="S41" s="26" t="n">
        <x:v>0.0114431023521932</x:v>
      </x:c>
      <x:c r="T41" s="41" t="b">
        <x:v>1</x:v>
      </x:c>
    </x:row>
    <x:row r="42">
      <x:c r="A42" s="25" t="str">
        <x:v>GROCERY</x:v>
      </x:c>
      <x:c r="B42" s="26" t="str">
        <x:v>CONVENIENT BRKFST/WHLSM SNACKS</x:v>
      </x:c>
      <x:c r="C42" s="39" t="b">
        <x:v>1</x:v>
      </x:c>
      <x:c r="D42" s="39" t="b">
        <x:v>1</x:v>
      </x:c>
      <x:c r="E42" s="39" t="b">
        <x:v>1</x:v>
      </x:c>
      <x:c r="F42" s="26" t="n">
        <x:v>389</x:v>
      </x:c>
      <x:c r="G42" s="26" t="n">
        <x:v>12871</x:v>
      </x:c>
      <x:c r="H42" s="26" t="n">
        <x:v>27935</x:v>
      </x:c>
      <x:c r="I42" s="26" t="n">
        <x:v>0.0049723241821757</x:v>
      </x:c>
      <x:c r="J42" s="26" t="n">
        <x:v>0.008928724</x:v>
      </x:c>
      <x:c r="K42" s="26" t="n">
        <x:v>0.0069154356292107</x:v>
      </x:c>
      <x:c r="L42" s="26" t="n">
        <x:v>0.005503112940375</x:v>
      </x:c>
      <x:c r="M42" s="26" t="n">
        <x:v>255</x:v>
      </x:c>
      <x:c r="N42" s="26" t="n">
        <x:v>9840</x:v>
      </x:c>
      <x:c r="O42" s="26" t="n">
        <x:v>17318</x:v>
      </x:c>
      <x:c r="P42" s="26" t="n">
        <x:v>0.0024622531939605</x:v>
      </x:c>
      <x:c r="Q42" s="26" t="n">
        <x:v>0.0036399148</x:v>
      </x:c>
      <x:c r="R42" s="26" t="n">
        <x:v>0.0026248548199767</x:v>
      </x:c>
      <x:c r="S42" s="26" t="n">
        <x:v>0.0030059523809523</x:v>
      </x:c>
      <x:c r="T42" s="41" t="b">
        <x:v>1</x:v>
      </x:c>
    </x:row>
    <x:row r="43">
      <x:c r="A43" s="25" t="str">
        <x:v>GROCERY</x:v>
      </x:c>
      <x:c r="B43" s="26" t="str">
        <x:v>COOKIES/CONES</x:v>
      </x:c>
      <x:c r="C43" s="39" t="b">
        <x:v>1</x:v>
      </x:c>
      <x:c r="D43" s="39" t="b">
        <x:v>1</x:v>
      </x:c>
      <x:c r="E43" s="39" t="b">
        <x:v>1</x:v>
      </x:c>
      <x:c r="F43" s="26" t="n">
        <x:v>391</x:v>
      </x:c>
      <x:c r="G43" s="26" t="n">
        <x:v>17690</x:v>
      </x:c>
      <x:c r="H43" s="26" t="n">
        <x:v>72641</x:v>
      </x:c>
      <x:c r="I43" s="26" t="n">
        <x:v>0.0041453522914052</x:v>
      </x:c>
      <x:c r="J43" s="26" t="n">
        <x:v>0.009707144</x:v>
      </x:c>
      <x:c r="K43" s="26" t="n">
        <x:v>0.0058876607083382</x:v>
      </x:c>
      <x:c r="L43" s="26" t="n">
        <x:v>0.0047569881634491</x:v>
      </x:c>
      <x:c r="M43" s="26" t="n">
        <x:v>240</x:v>
      </x:c>
      <x:c r="N43" s="26" t="n">
        <x:v>12381</x:v>
      </x:c>
      <x:c r="O43" s="26" t="n">
        <x:v>30048</x:v>
      </x:c>
      <x:c r="P43" s="26" t="n">
        <x:v>0.003190756958627</x:v>
      </x:c>
      <x:c r="Q43" s="26" t="n">
        <x:v>0.006236251</x:v>
      </x:c>
      <x:c r="R43" s="26" t="n">
        <x:v>0.0041414263791293</x:v>
      </x:c>
      <x:c r="S43" s="26" t="n">
        <x:v>0.003519762103479</x:v>
      </x:c>
      <x:c r="T43" s="41" t="b">
        <x:v>1</x:v>
      </x:c>
    </x:row>
    <x:row r="44">
      <x:c r="A44" s="25" t="str">
        <x:v>GROCERY</x:v>
      </x:c>
      <x:c r="B44" s="26" t="str">
        <x:v>CRACKERS/MISC BKD FD</x:v>
      </x:c>
      <x:c r="C44" s="39" t="b">
        <x:v>1</x:v>
      </x:c>
      <x:c r="D44" s="39" t="b">
        <x:v>1</x:v>
      </x:c>
      <x:c r="E44" s="39" t="b">
        <x:v>1</x:v>
      </x:c>
      <x:c r="F44" s="26" t="n">
        <x:v>389</x:v>
      </x:c>
      <x:c r="G44" s="26" t="n">
        <x:v>20081</x:v>
      </x:c>
      <x:c r="H44" s="26" t="n">
        <x:v>101743</x:v>
      </x:c>
      <x:c r="I44" s="26" t="n">
        <x:v>0.0034688608573431</x:v>
      </x:c>
      <x:c r="J44" s="26" t="n">
        <x:v>0.0066392464</x:v>
      </x:c>
      <x:c r="K44" s="26" t="n">
        <x:v>0.0053859882366016</x:v>
      </x:c>
      <x:c r="L44" s="26" t="n">
        <x:v>0.0041283284740512</x:v>
      </x:c>
      <x:c r="M44" s="26" t="n">
        <x:v>316</x:v>
      </x:c>
      <x:c r="N44" s="26" t="n">
        <x:v>18169</x:v>
      </x:c>
      <x:c r="O44" s="26" t="n">
        <x:v>62773</x:v>
      </x:c>
      <x:c r="P44" s="26" t="n">
        <x:v>0.004438116356769</x:v>
      </x:c>
      <x:c r="Q44" s="26" t="n">
        <x:v>0.008514847</x:v>
      </x:c>
      <x:c r="R44" s="26" t="n">
        <x:v>0.0053824483959604</x:v>
      </x:c>
      <x:c r="S44" s="26" t="n">
        <x:v>0.0047494160275546</x:v>
      </x:c>
      <x:c r="T44" s="41" t="b">
        <x:v>1</x:v>
      </x:c>
    </x:row>
    <x:row r="45">
      <x:c r="A45" s="25" t="str">
        <x:v>GROCERY</x:v>
      </x:c>
      <x:c r="B45" s="26" t="str">
        <x:v>DRY BN/VEG/POTATO/RICE</x:v>
      </x:c>
      <x:c r="C45" s="39" t="b">
        <x:v>1</x:v>
      </x:c>
      <x:c r="D45" s="39" t="b">
        <x:v>1</x:v>
      </x:c>
      <x:c r="E45" s="39" t="b">
        <x:v>1</x:v>
      </x:c>
      <x:c r="F45" s="26" t="n">
        <x:v>214</x:v>
      </x:c>
      <x:c r="G45" s="26" t="n">
        <x:v>3914</x:v>
      </x:c>
      <x:c r="H45" s="26" t="n">
        <x:v>6444</x:v>
      </x:c>
      <x:c r="I45" s="26" t="n">
        <x:v>0.0066939192641798</x:v>
      </x:c>
      <x:c r="J45" s="26" t="n">
        <x:v>0.009623786</x:v>
      </x:c>
      <x:c r="K45" s="26" t="n">
        <x:v>0.0115568046329415</x:v>
      </x:c>
      <x:c r="L45" s="26" t="n">
        <x:v>0.0075881451200817</x:v>
      </x:c>
      <x:c r="M45" s="26" t="n">
        <x:v>177</x:v>
      </x:c>
      <x:c r="N45" s="26" t="n">
        <x:v>1947</x:v>
      </x:c>
      <x:c r="O45" s="26" t="n">
        <x:v>1966</x:v>
      </x:c>
      <x:c r="P45" s="26" t="n">
        <x:v>0.0138674884437596</x:v>
      </x:c>
      <x:c r="Q45" s="26" t="n">
        <x:v>0.020313302</x:v>
      </x:c>
      <x:c r="R45" s="26" t="n">
        <x:v>0.0200308166409861</x:v>
      </x:c>
      <x:c r="S45" s="26" t="n">
        <x:v>0.014894709809964</x:v>
      </x:c>
      <x:c r="T45" s="41" t="b">
        <x:v>1</x:v>
      </x:c>
    </x:row>
    <x:row r="46">
      <x:c r="A46" s="25" t="str">
        <x:v>GROCERY</x:v>
      </x:c>
      <x:c r="B46" s="26" t="str">
        <x:v>DRY MIX DESSERTS</x:v>
      </x:c>
      <x:c r="C46" s="39" t="b">
        <x:v>1</x:v>
      </x:c>
      <x:c r="D46" s="39" t="b">
        <x:v>1</x:v>
      </x:c>
      <x:c r="E46" s="39" t="b">
        <x:v>1</x:v>
      </x:c>
      <x:c r="F46" s="26" t="n">
        <x:v>68</x:v>
      </x:c>
      <x:c r="G46" s="26" t="n">
        <x:v>2093</x:v>
      </x:c>
      <x:c r="H46" s="26" t="n">
        <x:v>6100</x:v>
      </x:c>
      <x:c r="I46" s="26" t="n">
        <x:v>0.0053631151457238</x:v>
      </x:c>
      <x:c r="J46" s="26" t="n">
        <x:v>0.008519816</x:v>
      </x:c>
      <x:c r="K46" s="26" t="n">
        <x:v>0.0088924533023911</x:v>
      </x:c>
      <x:c r="L46" s="26" t="n">
        <x:v>0.0034371942757035</x:v>
      </x:c>
      <x:c r="M46" s="26" t="n">
        <x:v>69</x:v>
      </x:c>
      <x:c r="N46" s="26" t="n">
        <x:v>2585</x:v>
      </x:c>
      <x:c r="O46" s="26" t="n">
        <x:v>5349</x:v>
      </x:c>
      <x:c r="P46" s="26" t="n">
        <x:v>0.0060642903196094</x:v>
      </x:c>
      <x:c r="Q46" s="26" t="n">
        <x:v>0.009254168</x:v>
      </x:c>
      <x:c r="R46" s="26" t="n">
        <x:v>0.0090784747167725</x:v>
      </x:c>
      <x:c r="S46" s="26" t="n">
        <x:v>0.0064515980473427</x:v>
      </x:c>
      <x:c r="T46" s="41" t="b">
        <x:v>1</x:v>
      </x:c>
    </x:row>
    <x:row r="47">
      <x:c r="A47" s="25" t="str">
        <x:v>GROCERY</x:v>
      </x:c>
      <x:c r="B47" s="26" t="str">
        <x:v>EGGS</x:v>
      </x:c>
      <x:c r="C47" s="39" t="b">
        <x:v>1</x:v>
      </x:c>
      <x:c r="D47" s="39" t="b">
        <x:v>1</x:v>
      </x:c>
      <x:c r="E47" s="39" t="b">
        <x:v>1</x:v>
      </x:c>
      <x:c r="F47" s="26" t="n">
        <x:v>47</x:v>
      </x:c>
      <x:c r="G47" s="26" t="n">
        <x:v>2595</x:v>
      </x:c>
      <x:c r="H47" s="26" t="n">
        <x:v>9993</x:v>
      </x:c>
      <x:c r="I47" s="26" t="n">
        <x:v>0.0186952536740024</x:v>
      </x:c>
      <x:c r="J47" s="26" t="n">
        <x:v>0.055523336</x:v>
      </x:c>
      <x:c r="K47" s="26" t="n">
        <x:v>0.1090188232435767</x:v>
      </x:c>
      <x:c r="L47" s="26" t="n">
        <x:v>0.0570521293659681</x:v>
      </x:c>
      <x:c r="M47" s="26" t="n">
        <x:v>35</x:v>
      </x:c>
      <x:c r="N47" s="26" t="n">
        <x:v>2904</x:v>
      </x:c>
      <x:c r="O47" s="26" t="n">
        <x:v>6705</x:v>
      </x:c>
      <x:c r="P47" s="26" t="n">
        <x:v>0.0240358126721763</x:v>
      </x:c>
      <x:c r="Q47" s="26" t="n">
        <x:v>0.050121386</x:v>
      </x:c>
      <x:c r="R47" s="26" t="n">
        <x:v>0.1008494031221304</x:v>
      </x:c>
      <x:c r="S47" s="26" t="n">
        <x:v>0.0583620293847566</x:v>
      </x:c>
      <x:c r="T47" s="41" t="b">
        <x:v>1</x:v>
      </x:c>
    </x:row>
    <x:row r="48">
      <x:c r="A48" s="25" t="str">
        <x:v>GROCERY</x:v>
      </x:c>
      <x:c r="B48" s="26" t="str">
        <x:v>FD WRAPS/BAGS/TRSH BG</x:v>
      </x:c>
      <x:c r="C48" s="39" t="b">
        <x:v>1</x:v>
      </x:c>
      <x:c r="D48" s="39" t="b">
        <x:v>1</x:v>
      </x:c>
      <x:c r="E48" s="39" t="b">
        <x:v>1</x:v>
      </x:c>
      <x:c r="F48" s="26" t="n">
        <x:v>118</x:v>
      </x:c>
      <x:c r="G48" s="26" t="n">
        <x:v>1973</x:v>
      </x:c>
      <x:c r="H48" s="26" t="n">
        <x:v>3259</x:v>
      </x:c>
      <x:c r="I48" s="26" t="n">
        <x:v>0.0115053218449062</x:v>
      </x:c>
      <x:c r="J48" s="26" t="n">
        <x:v>0.020671483</x:v>
      </x:c>
      <x:c r="K48" s="26" t="n">
        <x:v>0.0081263726980908</x:v>
      </x:c>
      <x:c r="L48" s="26" t="n">
        <x:v>0.0126034803176212</x:v>
      </x:c>
      <x:c r="M48" s="26" t="n">
        <x:v>89</x:v>
      </x:c>
      <x:c r="N48" s="26" t="n">
        <x:v>1129</x:v>
      </x:c>
      <x:c r="O48" s="26" t="n">
        <x:v>1186</x:v>
      </x:c>
      <x:c r="P48" s="26" t="n">
        <x:v>0.0053144375553587</x:v>
      </x:c>
      <x:c r="Q48" s="26" t="n">
        <x:v>0.015203721</x:v>
      </x:c>
      <x:c r="R48" s="26" t="n">
        <x:v>0.0022143489813994</x:v>
      </x:c>
      <x:c r="S48" s="26" t="n">
        <x:v>0.0048715677590788</x:v>
      </x:c>
      <x:c r="T48" s="41" t="b">
        <x:v>1</x:v>
      </x:c>
    </x:row>
    <x:row r="49">
      <x:c r="A49" s="25" t="str">
        <x:v>GROCERY</x:v>
      </x:c>
      <x:c r="B49" s="26" t="str">
        <x:v>FLUID MILK PRODUCTS</x:v>
      </x:c>
      <x:c r="C49" s="39" t="b">
        <x:v>1</x:v>
      </x:c>
      <x:c r="D49" s="39" t="b">
        <x:v>1</x:v>
      </x:c>
      <x:c r="E49" s="39" t="b">
        <x:v>1</x:v>
      </x:c>
      <x:c r="F49" s="26" t="n">
        <x:v>120</x:v>
      </x:c>
      <x:c r="G49" s="26" t="n">
        <x:v>2172</x:v>
      </x:c>
      <x:c r="H49" s="26" t="n">
        <x:v>17329</x:v>
      </x:c>
      <x:c r="I49" s="26" t="n">
        <x:v>0.0193618698961414</x:v>
      </x:c>
      <x:c r="J49" s="26" t="n">
        <x:v>0.059334207</x:v>
      </x:c>
      <x:c r="K49" s="26" t="n">
        <x:v>0.0786629497326774</x:v>
      </x:c>
      <x:c r="L49" s="26" t="n">
        <x:v>0.0423099266377664</x:v>
      </x:c>
      <x:c r="M49" s="26" t="n">
        <x:v>108</x:v>
      </x:c>
      <x:c r="N49" s="26" t="n">
        <x:v>2632</x:v>
      </x:c>
      <x:c r="O49" s="26" t="n">
        <x:v>9645</x:v>
      </x:c>
      <x:c r="P49" s="26" t="n">
        <x:v>0.0003067236776019</x:v>
      </x:c>
      <x:c r="Q49" s="26" t="n">
        <x:v>0.005293302</x:v>
      </x:c>
      <x:c r="R49" s="26" t="n">
        <x:v>-0.0054629178797547</x:v>
      </x:c>
      <x:c r="S49" s="26" t="n">
        <x:v>-0.0027413166928491</x:v>
      </x:c>
      <x:c r="T49" s="41" t="b">
        <x:v>1</x:v>
      </x:c>
    </x:row>
    <x:row r="50">
      <x:c r="A50" s="25" t="str">
        <x:v>GROCERY</x:v>
      </x:c>
      <x:c r="B50" s="26" t="str">
        <x:v>FROZEN PIE/DESSERTS</x:v>
      </x:c>
      <x:c r="C50" s="39" t="b">
        <x:v>1</x:v>
      </x:c>
      <x:c r="D50" s="39" t="b">
        <x:v>1</x:v>
      </x:c>
      <x:c r="E50" s="39" t="b">
        <x:v>1</x:v>
      </x:c>
      <x:c r="F50" s="26" t="n">
        <x:v>159</x:v>
      </x:c>
      <x:c r="G50" s="26" t="n">
        <x:v>6818</x:v>
      </x:c>
      <x:c r="H50" s="26" t="n">
        <x:v>19996</x:v>
      </x:c>
      <x:c r="I50" s="26" t="n">
        <x:v>0.0058734105925364</x:v>
      </x:c>
      <x:c r="J50" s="26" t="n">
        <x:v>0.014165813</x:v>
      </x:c>
      <x:c r="K50" s="26" t="n">
        <x:v>0.0110209658500946</x:v>
      </x:c>
      <x:c r="L50" s="26" t="n">
        <x:v>0.0063922286604891</x:v>
      </x:c>
      <x:c r="M50" s="26" t="n">
        <x:v>136</x:v>
      </x:c>
      <x:c r="N50" s="26" t="n">
        <x:v>7643</x:v>
      </x:c>
      <x:c r="O50" s="26" t="n">
        <x:v>14720</x:v>
      </x:c>
      <x:c r="P50" s="26" t="n">
        <x:v>0.002922063762048</x:v>
      </x:c>
      <x:c r="Q50" s="26" t="n">
        <x:v>0.011566881</x:v>
      </x:c>
      <x:c r="R50" s="26" t="n">
        <x:v>0.0046709407300798</x:v>
      </x:c>
      <x:c r="S50" s="26" t="n">
        <x:v>0.003347289458764</x:v>
      </x:c>
      <x:c r="T50" s="41" t="b">
        <x:v>1</x:v>
      </x:c>
    </x:row>
    <x:row r="51">
      <x:c r="A51" s="25" t="str">
        <x:v>GROCERY</x:v>
      </x:c>
      <x:c r="B51" s="26" t="str">
        <x:v>FROZEN PIZZA</x:v>
      </x:c>
      <x:c r="C51" s="39" t="b">
        <x:v>1</x:v>
      </x:c>
      <x:c r="D51" s="39" t="b">
        <x:v>1</x:v>
      </x:c>
      <x:c r="E51" s="39" t="b">
        <x:v>1</x:v>
      </x:c>
      <x:c r="F51" s="26" t="n">
        <x:v>666</x:v>
      </x:c>
      <x:c r="G51" s="26" t="n">
        <x:v>26505</x:v>
      </x:c>
      <x:c r="H51" s="26" t="n">
        <x:v>103196</x:v>
      </x:c>
      <x:c r="I51" s="26" t="n">
        <x:v>0.0052518406302965</x:v>
      </x:c>
      <x:c r="J51" s="26" t="n">
        <x:v>0.016149709</x:v>
      </x:c>
      <x:c r="K51" s="26" t="n">
        <x:v>0.0102576138987587</x:v>
      </x:c>
      <x:c r="L51" s="26" t="n">
        <x:v>0.0060421372634746</x:v>
      </x:c>
      <x:c r="M51" s="26" t="n">
        <x:v>571</x:v>
      </x:c>
      <x:c r="N51" s="26" t="n">
        <x:v>36022</x:v>
      </x:c>
      <x:c r="O51" s="26" t="n">
        <x:v>144733</x:v>
      </x:c>
      <x:c r="P51" s="26" t="n">
        <x:v>0.0050312793052309</x:v>
      </x:c>
      <x:c r="Q51" s="26" t="n">
        <x:v>0.019903032</x:v>
      </x:c>
      <x:c r="R51" s="26" t="n">
        <x:v>0.0084802546414756</x:v>
      </x:c>
      <x:c r="S51" s="26" t="n">
        <x:v>0.0056217509557857</x:v>
      </x:c>
      <x:c r="T51" s="41" t="b">
        <x:v>1</x:v>
      </x:c>
    </x:row>
    <x:row r="52">
      <x:c r="A52" s="25" t="str">
        <x:v>GROCERY</x:v>
      </x:c>
      <x:c r="B52" s="26" t="str">
        <x:v>FRZN BREAKFAST FOODS</x:v>
      </x:c>
      <x:c r="C52" s="39" t="b">
        <x:v>1</x:v>
      </x:c>
      <x:c r="D52" s="39" t="b">
        <x:v>1</x:v>
      </x:c>
      <x:c r="E52" s="39" t="b">
        <x:v>1</x:v>
      </x:c>
      <x:c r="F52" s="26" t="n">
        <x:v>167</x:v>
      </x:c>
      <x:c r="G52" s="26" t="n">
        <x:v>4734</x:v>
      </x:c>
      <x:c r="H52" s="26" t="n">
        <x:v>12062</x:v>
      </x:c>
      <x:c r="I52" s="26" t="n">
        <x:v>0.0074048659996061</x:v>
      </x:c>
      <x:c r="J52" s="26" t="n">
        <x:v>0.009888784</x:v>
      </x:c>
      <x:c r="K52" s="26" t="n">
        <x:v>0.0102851002328188</x:v>
      </x:c>
      <x:c r="L52" s="26" t="n">
        <x:v>0.0083218303196123</x:v>
      </x:c>
      <x:c r="M52" s="26" t="n">
        <x:v>142</x:v>
      </x:c>
      <x:c r="N52" s="26" t="n">
        <x:v>6057</x:v>
      </x:c>
      <x:c r="O52" s="26" t="n">
        <x:v>12705</x:v>
      </x:c>
      <x:c r="P52" s="26" t="n">
        <x:v>0.0065035500151894</x:v>
      </x:c>
      <x:c r="Q52" s="26" t="n">
        <x:v>0.012973903</x:v>
      </x:c>
      <x:c r="R52" s="26" t="n">
        <x:v>0.0096022110261832</x:v>
      </x:c>
      <x:c r="S52" s="26" t="n">
        <x:v>0.0075806194429275</x:v>
      </x:c>
      <x:c r="T52" s="41" t="b">
        <x:v>1</x:v>
      </x:c>
    </x:row>
    <x:row r="53">
      <x:c r="A53" s="25" t="str">
        <x:v>GROCERY</x:v>
      </x:c>
      <x:c r="B53" s="26" t="str">
        <x:v>FRZN MEAT/MEAT DINNERS</x:v>
      </x:c>
      <x:c r="C53" s="39" t="b">
        <x:v>1</x:v>
      </x:c>
      <x:c r="D53" s="39" t="b">
        <x:v>1</x:v>
      </x:c>
      <x:c r="E53" s="39" t="b">
        <x:v>1</x:v>
      </x:c>
      <x:c r="F53" s="26" t="n">
        <x:v>986</x:v>
      </x:c>
      <x:c r="G53" s="26" t="n">
        <x:v>27118</x:v>
      </x:c>
      <x:c r="H53" s="26" t="n">
        <x:v>62033</x:v>
      </x:c>
      <x:c r="I53" s="26" t="n">
        <x:v>0.0058700088089889</x:v>
      </x:c>
      <x:c r="J53" s="26" t="n">
        <x:v>0.017994402</x:v>
      </x:c>
      <x:c r="K53" s="26" t="n">
        <x:v>0.008014989356935</x:v>
      </x:c>
      <x:c r="L53" s="26" t="n">
        <x:v>0.0062640088202391</x:v>
      </x:c>
      <x:c r="M53" s="26" t="n">
        <x:v>900</x:v>
      </x:c>
      <x:c r="N53" s="26" t="n">
        <x:v>51442</x:v>
      </x:c>
      <x:c r="O53" s="26" t="n">
        <x:v>121334</x:v>
      </x:c>
      <x:c r="P53" s="26" t="n">
        <x:v>0.0035794434539623</x:v>
      </x:c>
      <x:c r="Q53" s="26" t="n">
        <x:v>0.00972078</x:v>
      </x:c>
      <x:c r="R53" s="26" t="n">
        <x:v>0.0052622833667505</x:v>
      </x:c>
      <x:c r="S53" s="26" t="n">
        <x:v>0.0038993753482886</x:v>
      </x:c>
      <x:c r="T53" s="41" t="b">
        <x:v>1</x:v>
      </x:c>
    </x:row>
    <x:row r="54">
      <x:c r="A54" s="25" t="str">
        <x:v>GROCERY</x:v>
      </x:c>
      <x:c r="B54" s="26" t="str">
        <x:v>FRZN NOVELTIES/WTR ICE</x:v>
      </x:c>
      <x:c r="C54" s="39" t="b">
        <x:v>1</x:v>
      </x:c>
      <x:c r="D54" s="39" t="b">
        <x:v>1</x:v>
      </x:c>
      <x:c r="E54" s="39" t="b">
        <x:v>1</x:v>
      </x:c>
      <x:c r="F54" s="26" t="n">
        <x:v>258</x:v>
      </x:c>
      <x:c r="G54" s="26" t="n">
        <x:v>8318</x:v>
      </x:c>
      <x:c r="H54" s="26" t="n">
        <x:v>19119</x:v>
      </x:c>
      <x:c r="I54" s="26" t="n">
        <x:v>0.0040797968695299</x:v>
      </x:c>
      <x:c r="J54" s="26" t="n">
        <x:v>0.005819925</x:v>
      </x:c>
      <x:c r="K54" s="26" t="n">
        <x:v>0.0049047953862813</x:v>
      </x:c>
      <x:c r="L54" s="26" t="n">
        <x:v>0.0046366309680808</x:v>
      </x:c>
      <x:c r="M54" s="26" t="n">
        <x:v>196</x:v>
      </x:c>
      <x:c r="N54" s="26" t="n">
        <x:v>6057</x:v>
      </x:c>
      <x:c r="O54" s="26" t="n">
        <x:v>8620</x:v>
      </x:c>
      <x:c r="P54" s="26" t="n">
        <x:v>0.0062572230477133</x:v>
      </x:c>
      <x:c r="Q54" s="26" t="n">
        <x:v>0.0067877388</x:v>
      </x:c>
      <x:c r="R54" s="26" t="n">
        <x:v>0.0043448351769302</x:v>
      </x:c>
      <x:c r="S54" s="26" t="n">
        <x:v>0.0068350668647845</x:v>
      </x:c>
      <x:c r="T54" s="41" t="b">
        <x:v>1</x:v>
      </x:c>
    </x:row>
    <x:row r="55">
      <x:c r="A55" s="25" t="str">
        <x:v>GROCERY</x:v>
      </x:c>
      <x:c r="B55" s="26" t="str">
        <x:v>FRZN POTATOES</x:v>
      </x:c>
      <x:c r="C55" s="39" t="b">
        <x:v>1</x:v>
      </x:c>
      <x:c r="D55" s="39" t="b">
        <x:v>1</x:v>
      </x:c>
      <x:c r="E55" s="39" t="b">
        <x:v>1</x:v>
      </x:c>
      <x:c r="F55" s="26" t="n">
        <x:v>94</x:v>
      </x:c>
      <x:c r="G55" s="26" t="n">
        <x:v>2441</x:v>
      </x:c>
      <x:c r="H55" s="26" t="n">
        <x:v>5195</x:v>
      </x:c>
      <x:c r="I55" s="26" t="n">
        <x:v>0.0030663572021983</x:v>
      </x:c>
      <x:c r="J55" s="26" t="n">
        <x:v>0.000053320895</x:v>
      </x:c>
      <x:c r="K55" s="26" t="n">
        <x:v>0.0027791878485904</x:v>
      </x:c>
      <x:c r="L55" s="26" t="n">
        <x:v>0.0021921976243975</x:v>
      </x:c>
      <x:c r="M55" s="26" t="n">
        <x:v>94</x:v>
      </x:c>
      <x:c r="N55" s="26" t="n">
        <x:v>3769</x:v>
      </x:c>
      <x:c r="O55" s="26" t="n">
        <x:v>6243</x:v>
      </x:c>
      <x:c r="P55" s="26" t="n">
        <x:v>0.0071529646615876</x:v>
      </x:c>
      <x:c r="Q55" s="26" t="n">
        <x:v>0.012680185</x:v>
      </x:c>
      <x:c r="R55" s="26" t="n">
        <x:v>0.0075774804482684</x:v>
      </x:c>
      <x:c r="S55" s="26" t="n">
        <x:v>0.0078162705782764</x:v>
      </x:c>
      <x:c r="T55" s="41" t="b">
        <x:v>1</x:v>
      </x:c>
    </x:row>
    <x:row r="56">
      <x:c r="A56" s="25" t="str">
        <x:v>GROCERY</x:v>
      </x:c>
      <x:c r="B56" s="26" t="str">
        <x:v>FRZN VEGETABLE/VEG DSH</x:v>
      </x:c>
      <x:c r="C56" s="39" t="b">
        <x:v>1</x:v>
      </x:c>
      <x:c r="D56" s="39" t="b">
        <x:v>1</x:v>
      </x:c>
      <x:c r="E56" s="39" t="b">
        <x:v>1</x:v>
      </x:c>
      <x:c r="F56" s="26" t="n">
        <x:v>316</x:v>
      </x:c>
      <x:c r="G56" s="26" t="n">
        <x:v>7804</x:v>
      </x:c>
      <x:c r="H56" s="26" t="n">
        <x:v>35186</x:v>
      </x:c>
      <x:c r="I56" s="26" t="n">
        <x:v>0.0039315753218631</x:v>
      </x:c>
      <x:c r="J56" s="26" t="n">
        <x:v>0.005940952</x:v>
      </x:c>
      <x:c r="K56" s="26" t="n">
        <x:v>0.008146735220198</x:v>
      </x:c>
      <x:c r="L56" s="26" t="n">
        <x:v>0.0048185505674688</x:v>
      </x:c>
      <x:c r="M56" s="26" t="n">
        <x:v>267</x:v>
      </x:c>
      <x:c r="N56" s="26" t="n">
        <x:v>14390</x:v>
      </x:c>
      <x:c r="O56" s="26" t="n">
        <x:v>58116</x:v>
      </x:c>
      <x:c r="P56" s="26" t="n">
        <x:v>0.004884301209108</x:v>
      </x:c>
      <x:c r="Q56" s="26" t="n">
        <x:v>0.0077773365</x:v>
      </x:c>
      <x:c r="R56" s="26" t="n">
        <x:v>0.0070077371326707</x:v>
      </x:c>
      <x:c r="S56" s="26" t="n">
        <x:v>0.0054007791320263</x:v>
      </x:c>
      <x:c r="T56" s="41" t="b">
        <x:v>1</x:v>
      </x:c>
    </x:row>
    <x:row r="57">
      <x:c r="A57" s="25" t="str">
        <x:v>GROCERY</x:v>
      </x:c>
      <x:c r="B57" s="26" t="str">
        <x:v>HISPANIC</x:v>
      </x:c>
      <x:c r="C57" s="39" t="b">
        <x:v>1</x:v>
      </x:c>
      <x:c r="D57" s="39" t="b">
        <x:v>1</x:v>
      </x:c>
      <x:c r="E57" s="39" t="b">
        <x:v>1</x:v>
      </x:c>
      <x:c r="F57" s="26" t="n">
        <x:v>104</x:v>
      </x:c>
      <x:c r="G57" s="26" t="n">
        <x:v>825</x:v>
      </x:c>
      <x:c r="H57" s="26" t="n">
        <x:v>1078</x:v>
      </x:c>
      <x:c r="I57" s="26" t="n">
        <x:v>0.0104040404040404</x:v>
      </x:c>
      <x:c r="J57" s="26" t="n">
        <x:v>0.019080808</x:v>
      </x:c>
      <x:c r="K57" s="26" t="n">
        <x:v>0.0126262626262626</x:v>
      </x:c>
      <x:c r="L57" s="26" t="n">
        <x:v>0.0116161616161616</x:v>
      </x:c>
      <x:c r="M57" s="26" t="n">
        <x:v>24</x:v>
      </x:c>
      <x:c r="N57" s="26" t="n">
        <x:v>313</x:v>
      </x:c>
      <x:c r="O57" s="26" t="n">
        <x:v>313</x:v>
      </x:c>
      <x:c r="P57" s="26" t="n">
        <x:v>0.0223642172523961</x:v>
      </x:c>
      <x:c r="Q57" s="26" t="n">
        <x:v>0.047923323</x:v>
      </x:c>
      <x:c r="R57" s="26" t="n">
        <x:v>0.0319488817891373</x:v>
      </x:c>
      <x:c r="S57" s="26" t="n">
        <x:v>0.0255591054313099</x:v>
      </x:c>
      <x:c r="T57" s="41" t="b">
        <x:v>1</x:v>
      </x:c>
    </x:row>
    <x:row r="58">
      <x:c r="A58" s="25" t="str">
        <x:v>GROCERY</x:v>
      </x:c>
      <x:c r="B58" s="26" t="str">
        <x:v>HOT CEREAL</x:v>
      </x:c>
      <x:c r="C58" s="39" t="b">
        <x:v>1</x:v>
      </x:c>
      <x:c r="D58" s="39" t="b">
        <x:v>1</x:v>
      </x:c>
      <x:c r="E58" s="39" t="b">
        <x:v>1</x:v>
      </x:c>
      <x:c r="F58" s="26" t="n">
        <x:v>93</x:v>
      </x:c>
      <x:c r="G58" s="26" t="n">
        <x:v>2735</x:v>
      </x:c>
      <x:c r="H58" s="26" t="n">
        <x:v>4119</x:v>
      </x:c>
      <x:c r="I58" s="26" t="n">
        <x:v>0.0099878123095673</x:v>
      </x:c>
      <x:c r="J58" s="26" t="n">
        <x:v>0.024960022</x:v>
      </x:c>
      <x:c r="K58" s="26" t="n">
        <x:v>0.0173918342474101</x:v>
      </x:c>
      <x:c r="L58" s="26" t="n">
        <x:v>0.010810481413772</x:v>
      </x:c>
      <x:c r="M58" s="26" t="n">
        <x:v>7</x:v>
      </x:c>
      <x:c r="N58" s="26" t="n">
        <x:v>118</x:v>
      </x:c>
      <x:c r="O58" s="26" t="n">
        <x:v>118</x:v>
      </x:c>
      <x:c r="P58" s="26" t="n">
        <x:v>0.0084745762711864</x:v>
      </x:c>
      <x:c r="Q58" s="26" t="n">
        <x:v>0.016949153</x:v>
      </x:c>
      <x:c r="R58" s="26" t="n">
        <x:v>0.0169491525423728</x:v>
      </x:c>
      <x:c r="S58" s="26" t="n">
        <x:v>0.0084745762711864</x:v>
      </x:c>
      <x:c r="T58" s="41" t="b">
        <x:v>1</x:v>
      </x:c>
    </x:row>
    <x:row r="59">
      <x:c r="A59" s="25" t="str">
        <x:v>GROCERY</x:v>
      </x:c>
      <x:c r="B59" s="26" t="str">
        <x:v>HOUSEHOLD CLEANG NEEDS</x:v>
      </x:c>
      <x:c r="C59" s="39" t="b">
        <x:v>1</x:v>
      </x:c>
      <x:c r="D59" s="39" t="b">
        <x:v>1</x:v>
      </x:c>
      <x:c r="E59" s="39" t="b">
        <x:v>1</x:v>
      </x:c>
      <x:c r="F59" s="26" t="n">
        <x:v>97</x:v>
      </x:c>
      <x:c r="G59" s="26" t="n">
        <x:v>1202</x:v>
      </x:c>
      <x:c r="H59" s="26" t="n">
        <x:v>1709</x:v>
      </x:c>
      <x:c r="I59" s="26" t="n">
        <x:v>0.0009706045479755</x:v>
      </x:c>
      <x:c r="J59" s="26" t="n">
        <x:v>0.0025388238</x:v>
      </x:c>
      <x:c r="K59" s="26" t="n">
        <x:v>0.002218524681087</x:v>
      </x:c>
      <x:c r="L59" s="26" t="n">
        <x:v>0.0009706045479755</x:v>
      </x:c>
      <x:c r="M59" s="26" t="n">
        <x:v>34</x:v>
      </x:c>
      <x:c r="N59" s="26" t="n">
        <x:v>714</x:v>
      </x:c>
      <x:c r="O59" s="26" t="n">
        <x:v>879</x:v>
      </x:c>
      <x:c r="P59" s="26" t="n">
        <x:v>0.0056022408963585</x:v>
      </x:c>
      <x:c r="Q59" s="26" t="n">
        <x:v>0.01820028</x:v>
      </x:c>
      <x:c r="R59" s="26" t="n">
        <x:v>0.0077030812324929</x:v>
      </x:c>
      <x:c r="S59" s="26" t="n">
        <x:v>0.0056022408963585</x:v>
      </x:c>
      <x:c r="T59" s="41" t="b">
        <x:v>1</x:v>
      </x:c>
    </x:row>
    <x:row r="60">
      <x:c r="A60" s="25" t="str">
        <x:v>GROCERY</x:v>
      </x:c>
      <x:c r="B60" s="26" t="str">
        <x:v>ICE CREAM/MILK/SHERBTS</x:v>
      </x:c>
      <x:c r="C60" s="39" t="b">
        <x:v>1</x:v>
      </x:c>
      <x:c r="D60" s="39" t="b">
        <x:v>1</x:v>
      </x:c>
      <x:c r="E60" s="39" t="b">
        <x:v>1</x:v>
      </x:c>
      <x:c r="F60" s="26" t="n">
        <x:v>609</x:v>
      </x:c>
      <x:c r="G60" s="26" t="n">
        <x:v>19877</x:v>
      </x:c>
      <x:c r="H60" s="26" t="n">
        <x:v>59983</x:v>
      </x:c>
      <x:c r="I60" s="26" t="n">
        <x:v>0.0137041945676726</x:v>
      </x:c>
      <x:c r="J60" s="26" t="n">
        <x:v>0.026419017</x:v>
      </x:c>
      <x:c r="K60" s="26" t="n">
        <x:v>0.0212896087357392</x:v>
      </x:c>
      <x:c r="L60" s="26" t="n">
        <x:v>0.0166193941522788</x:v>
      </x:c>
      <x:c r="M60" s="26" t="n">
        <x:v>448</x:v>
      </x:c>
      <x:c r="N60" s="26" t="n">
        <x:v>29076</x:v>
      </x:c>
      <x:c r="O60" s="26" t="n">
        <x:v>113806</x:v>
      </x:c>
      <x:c r="P60" s="26" t="n">
        <x:v>0.0033434375094394</x:v>
      </x:c>
      <x:c r="Q60" s="26" t="n">
        <x:v>0.0088675</x:v>
      </x:c>
      <x:c r="R60" s="26" t="n">
        <x:v>0.0041497987765961</x:v>
      </x:c>
      <x:c r="S60" s="26" t="n">
        <x:v>0.0041347104723488</x:v>
      </x:c>
      <x:c r="T60" s="41" t="b">
        <x:v>1</x:v>
      </x:c>
    </x:row>
    <x:row r="61">
      <x:c r="A61" s="25" t="str">
        <x:v>GROCERY</x:v>
      </x:c>
      <x:c r="B61" s="26" t="str">
        <x:v>ISOTONIC DRINKS</x:v>
      </x:c>
      <x:c r="C61" s="39" t="b">
        <x:v>1</x:v>
      </x:c>
      <x:c r="D61" s="39" t="b">
        <x:v>1</x:v>
      </x:c>
      <x:c r="E61" s="39" t="b">
        <x:v>1</x:v>
      </x:c>
      <x:c r="F61" s="26" t="n">
        <x:v>149</x:v>
      </x:c>
      <x:c r="G61" s="26" t="n">
        <x:v>7150</x:v>
      </x:c>
      <x:c r="H61" s="26" t="n">
        <x:v>31755</x:v>
      </x:c>
      <x:c r="I61" s="26" t="n">
        <x:v>0.0035552838769621</x:v>
      </x:c>
      <x:c r="J61" s="26" t="n">
        <x:v>0.0014341795</x:v>
      </x:c>
      <x:c r="K61" s="26" t="n">
        <x:v>0.004007389269627</x:v>
      </x:c>
      <x:c r="L61" s="26" t="n">
        <x:v>0.0035635300984951</x:v>
      </x:c>
      <x:c r="M61" s="26" t="n">
        <x:v>130</x:v>
      </x:c>
      <x:c r="N61" s="26" t="n">
        <x:v>6741</x:v>
      </x:c>
      <x:c r="O61" s="26" t="n">
        <x:v>16885</x:v>
      </x:c>
      <x:c r="P61" s="26" t="n">
        <x:v>0.0063056444453863</x:v>
      </x:c>
      <x:c r="Q61" s="26" t="n">
        <x:v>0.022058364</x:v>
      </x:c>
      <x:c r="R61" s="26" t="n">
        <x:v>0.0116241996971859</x:v>
      </x:c>
      <x:c r="S61" s="26" t="n">
        <x:v>0.0068781891434316</x:v>
      </x:c>
      <x:c r="T61" s="41" t="b">
        <x:v>1</x:v>
      </x:c>
    </x:row>
    <x:row r="62">
      <x:c r="A62" s="25" t="str">
        <x:v>GROCERY</x:v>
      </x:c>
      <x:c r="B62" s="26" t="str">
        <x:v>LAUNDRY ADDITIVES</x:v>
      </x:c>
      <x:c r="C62" s="39" t="b">
        <x:v>1</x:v>
      </x:c>
      <x:c r="D62" s="39" t="b">
        <x:v>1</x:v>
      </x:c>
      <x:c r="E62" s="39" t="b">
        <x:v>1</x:v>
      </x:c>
      <x:c r="F62" s="26" t="n">
        <x:v>97</x:v>
      </x:c>
      <x:c r="G62" s="26" t="n">
        <x:v>1651</x:v>
      </x:c>
      <x:c r="H62" s="26" t="n">
        <x:v>2908</x:v>
      </x:c>
      <x:c r="I62" s="26" t="n">
        <x:v>0.0054007672117908</x:v>
      </x:c>
      <x:c r="J62" s="26" t="n">
        <x:v>0.023835553</x:v>
      </x:c>
      <x:c r="K62" s="26" t="n">
        <x:v>0.0054007672117908</x:v>
      </x:c>
      <x:c r="L62" s="26" t="n">
        <x:v>0.0054007672117908</x:v>
      </x:c>
      <x:c r="M62" s="26" t="n">
        <x:v>69</x:v>
      </x:c>
      <x:c r="N62" s="26" t="n">
        <x:v>1407</x:v>
      </x:c>
      <x:c r="O62" s="26" t="n">
        <x:v>2062</x:v>
      </x:c>
      <x:c r="P62" s="26" t="n">
        <x:v>0.0007107320540156</x:v>
      </x:c>
      <x:c r="Q62" s="26" t="n">
        <x:v>0.0047820415</x:v>
      </x:c>
      <x:c r="R62" s="26" t="n">
        <x:v>0.0003553660270078</x:v>
      </x:c>
      <x:c r="S62" s="26" t="n">
        <x:v>0.0007107320540156</x:v>
      </x:c>
      <x:c r="T62" s="41" t="b">
        <x:v>1</x:v>
      </x:c>
    </x:row>
    <x:row r="63">
      <x:c r="A63" s="25" t="str">
        <x:v>GROCERY</x:v>
      </x:c>
      <x:c r="B63" s="26" t="str">
        <x:v>LAUNDRY DETERGENTS</x:v>
      </x:c>
      <x:c r="C63" s="39" t="b">
        <x:v>1</x:v>
      </x:c>
      <x:c r="D63" s="39" t="b">
        <x:v>1</x:v>
      </x:c>
      <x:c r="E63" s="39" t="b">
        <x:v>1</x:v>
      </x:c>
      <x:c r="F63" s="26" t="n">
        <x:v>196</x:v>
      </x:c>
      <x:c r="G63" s="26" t="n">
        <x:v>7432</x:v>
      </x:c>
      <x:c r="H63" s="26" t="n">
        <x:v>15251</x:v>
      </x:c>
      <x:c r="I63" s="26" t="n">
        <x:v>0.0033282181728091</x:v>
      </x:c>
      <x:c r="J63" s="26" t="n">
        <x:v>0.02488446</x:v>
      </x:c>
      <x:c r="K63" s="26" t="n">
        <x:v>0.0045279849471184</x:v>
      </x:c>
      <x:c r="L63" s="26" t="n">
        <x:v>0.0041243250978181</x:v>
      </x:c>
      <x:c r="M63" s="26" t="n">
        <x:v>183</x:v>
      </x:c>
      <x:c r="N63" s="26" t="n">
        <x:v>9557</x:v>
      </x:c>
      <x:c r="O63" s="26" t="n">
        <x:v>18878</x:v>
      </x:c>
      <x:c r="P63" s="26" t="n">
        <x:v>0.00251432092491</x:v>
      </x:c>
      <x:c r="Q63" s="26" t="n">
        <x:v>0.0087904055</x:v>
      </x:c>
      <x:c r="R63" s="26" t="n">
        <x:v>0.004008862447703</x:v>
      </x:c>
      <x:c r="S63" s="26" t="n">
        <x:v>0.0031159741633739</x:v>
      </x:c>
      <x:c r="T63" s="41" t="b">
        <x:v>1</x:v>
      </x:c>
    </x:row>
    <x:row r="64">
      <x:c r="A64" s="25" t="str">
        <x:v>GROCERY</x:v>
      </x:c>
      <x:c r="B64" s="26" t="str">
        <x:v>MARGARINES</x:v>
      </x:c>
      <x:c r="C64" s="39" t="b">
        <x:v>1</x:v>
      </x:c>
      <x:c r="D64" s="39" t="b">
        <x:v>1</x:v>
      </x:c>
      <x:c r="E64" s="39" t="b">
        <x:v>1</x:v>
      </x:c>
      <x:c r="F64" s="26" t="n">
        <x:v>117</x:v>
      </x:c>
      <x:c r="G64" s="26" t="n">
        <x:v>1915</x:v>
      </x:c>
      <x:c r="H64" s="26" t="n">
        <x:v>4368</x:v>
      </x:c>
      <x:c r="I64" s="26" t="n">
        <x:v>0.0039599651871192</x:v>
      </x:c>
      <x:c r="J64" s="26" t="n">
        <x:v>0.0076635336</x:v>
      </x:c>
      <x:c r="K64" s="26" t="n">
        <x:v>0.0110704960835509</x:v>
      </x:c>
      <x:c r="L64" s="26" t="n">
        <x:v>0.006266318537859</x:v>
      </x:c>
      <x:c r="M64" s="26" t="n">
        <x:v>52</x:v>
      </x:c>
      <x:c r="N64" s="26" t="n">
        <x:v>915</x:v>
      </x:c>
      <x:c r="O64" s="26" t="n">
        <x:v>1229</x:v>
      </x:c>
      <x:c r="P64" s="26" t="n">
        <x:v>0.0143897996357012</x:v>
      </x:c>
      <x:c r="Q64" s="26" t="n">
        <x:v>0.0144663025</x:v>
      </x:c>
      <x:c r="R64" s="26" t="n">
        <x:v>0.0103825136612021</x:v>
      </x:c>
      <x:c r="S64" s="26" t="n">
        <x:v>0.0138433515482695</x:v>
      </x:c>
      <x:c r="T64" s="41" t="b">
        <x:v>1</x:v>
      </x:c>
    </x:row>
    <x:row r="65">
      <x:c r="A65" s="25" t="str">
        <x:v>GROCERY</x:v>
      </x:c>
      <x:c r="B65" s="26" t="str">
        <x:v>MEAT - SHELF STABLE</x:v>
      </x:c>
      <x:c r="C65" s="39" t="b">
        <x:v>1</x:v>
      </x:c>
      <x:c r="D65" s="39" t="b">
        <x:v>1</x:v>
      </x:c>
      <x:c r="E65" s="39" t="b">
        <x:v>1</x:v>
      </x:c>
      <x:c r="F65" s="26" t="n">
        <x:v>184</x:v>
      </x:c>
      <x:c r="G65" s="26" t="n">
        <x:v>5779</x:v>
      </x:c>
      <x:c r="H65" s="26" t="n">
        <x:v>30145</x:v>
      </x:c>
      <x:c r="I65" s="26" t="n">
        <x:v>0.0057621684871677</x:v>
      </x:c>
      <x:c r="J65" s="26" t="n">
        <x:v>0.017593272</x:v>
      </x:c>
      <x:c r="K65" s="26" t="n">
        <x:v>0.0177794049345832</x:v>
      </x:c>
      <x:c r="L65" s="26" t="n">
        <x:v>0.0070086438343892</x:v>
      </x:c>
      <x:c r="M65" s="26" t="n">
        <x:v>162</x:v>
      </x:c>
      <x:c r="N65" s="26" t="n">
        <x:v>5095</x:v>
      </x:c>
      <x:c r="O65" s="26" t="n">
        <x:v>13701</x:v>
      </x:c>
      <x:c r="P65" s="26" t="n">
        <x:v>0.0007271367820926</x:v>
      </x:c>
      <x:c r="Q65" s="26" t="n">
        <x:v>0.0043502105</x:v>
      </x:c>
      <x:c r="R65" s="26" t="n">
        <x:v>0.0049741420938673</x:v>
      </x:c>
      <x:c r="S65" s="26" t="n">
        <x:v>0.0017521846815271</x:v>
      </x:c>
      <x:c r="T65" s="41" t="b">
        <x:v>1</x:v>
      </x:c>
    </x:row>
    <x:row r="66">
      <x:c r="A66" s="25" t="str">
        <x:v>GROCERY</x:v>
      </x:c>
      <x:c r="B66" s="26" t="str">
        <x:v>MILK BY-PRODUCTS</x:v>
      </x:c>
      <x:c r="C66" s="39" t="b">
        <x:v>1</x:v>
      </x:c>
      <x:c r="D66" s="39" t="b">
        <x:v>1</x:v>
      </x:c>
      <x:c r="E66" s="39" t="b">
        <x:v>1</x:v>
      </x:c>
      <x:c r="F66" s="26" t="n">
        <x:v>105</x:v>
      </x:c>
      <x:c r="G66" s="26" t="n">
        <x:v>2166</x:v>
      </x:c>
      <x:c r="H66" s="26" t="n">
        <x:v>6020</x:v>
      </x:c>
      <x:c r="I66" s="26" t="n">
        <x:v>0.0080672785064918</x:v>
      </x:c>
      <x:c r="J66" s="26" t="n">
        <x:v>0.01795509</x:v>
      </x:c>
      <x:c r="K66" s="26" t="n">
        <x:v>0.0139965943854209</x:v>
      </x:c>
      <x:c r="L66" s="26" t="n">
        <x:v>0.0100867296095469</x:v>
      </x:c>
      <x:c r="M66" s="26" t="n">
        <x:v>95</x:v>
      </x:c>
      <x:c r="N66" s="26" t="n">
        <x:v>5028</x:v>
      </x:c>
      <x:c r="O66" s="26" t="n">
        <x:v>23445</x:v>
      </x:c>
      <x:c r="P66" s="26" t="n">
        <x:v>0.0082820935101953</x:v>
      </x:c>
      <x:c r="Q66" s="26" t="n">
        <x:v>0.015080781</x:v>
      </x:c>
      <x:c r="R66" s="26" t="n">
        <x:v>0.011546541741444</x:v>
      </x:c>
      <x:c r="S66" s="26" t="n">
        <x:v>0.0096014537971005</x:v>
      </x:c>
      <x:c r="T66" s="41" t="b">
        <x:v>1</x:v>
      </x:c>
    </x:row>
    <x:row r="67">
      <x:c r="A67" s="25" t="str">
        <x:v>GROCERY</x:v>
      </x:c>
      <x:c r="B67" s="26" t="str">
        <x:v>MISC WINE</x:v>
      </x:c>
      <x:c r="C67" s="39" t="b">
        <x:v>1</x:v>
      </x:c>
      <x:c r="D67" s="39" t="b">
        <x:v>1</x:v>
      </x:c>
      <x:c r="E67" s="39" t="b">
        <x:v>1</x:v>
      </x:c>
      <x:c r="F67" s="26" t="n">
        <x:v>6</x:v>
      </x:c>
      <x:c r="G67" s="26" t="n">
        <x:v>136</x:v>
      </x:c>
      <x:c r="H67" s="26" t="n">
        <x:v>390</x:v>
      </x:c>
      <x:c r="I67" s="26" t="n">
        <x:v>0.0057598039215686</x:v>
      </x:c>
      <x:c r="J67" s="26" t="n">
        <x:v>0.015922792</x:v>
      </x:c>
      <x:c r="K67" s="26" t="n">
        <x:v>0.0008578431372549</x:v>
      </x:c>
      <x:c r="L67" s="26" t="n">
        <x:v>0.0057598039215686</x:v>
      </x:c>
      <x:c r="M67" s="26" t="n">
        <x:v>6</x:v>
      </x:c>
      <x:c r="N67" s="26" t="n">
        <x:v>125</x:v>
      </x:c>
      <x:c r="O67" s="26" t="n">
        <x:v>189</x:v>
      </x:c>
      <x:c r="P67" s="26" t="n">
        <x:v>0.016</x:v>
      </x:c>
      <x:c r="Q67" s="26" t="n">
        <x:v>0.2478</x:v>
      </x:c>
      <x:c r="R67" s="26" t="n">
        <x:v>0.02</x:v>
      </x:c>
      <x:c r="S67" s="26" t="n">
        <x:v>0.016</x:v>
      </x:c>
      <x:c r="T67" s="41" t="b">
        <x:v>1</x:v>
      </x:c>
    </x:row>
    <x:row r="68">
      <x:c r="A68" s="25" t="str">
        <x:v>GROCERY</x:v>
      </x:c>
      <x:c r="B68" s="26" t="str">
        <x:v>PAPER TOWELS</x:v>
      </x:c>
      <x:c r="C68" s="39" t="b">
        <x:v>1</x:v>
      </x:c>
      <x:c r="D68" s="39" t="b">
        <x:v>1</x:v>
      </x:c>
      <x:c r="E68" s="39" t="b">
        <x:v>1</x:v>
      </x:c>
      <x:c r="F68" s="26" t="n">
        <x:v>55</x:v>
      </x:c>
      <x:c r="G68" s="26" t="n">
        <x:v>2504</x:v>
      </x:c>
      <x:c r="H68" s="26" t="n">
        <x:v>5854</x:v>
      </x:c>
      <x:c r="I68" s="26" t="n">
        <x:v>0.0108068216394893</x:v>
      </x:c>
      <x:c r="J68" s="26" t="n">
        <x:v>0.053573247</x:v>
      </x:c>
      <x:c r="K68" s="26" t="n">
        <x:v>0.02374611876409</x:v>
      </x:c>
      <x:c r="L68" s="26" t="n">
        <x:v>0.0162580995947609</x:v>
      </x:c>
      <x:c r="M68" s="26" t="n">
        <x:v>31</x:v>
      </x:c>
      <x:c r="N68" s="26" t="n">
        <x:v>1738</x:v>
      </x:c>
      <x:c r="O68" s="26" t="n">
        <x:v>2697</x:v>
      </x:c>
      <x:c r="P68" s="26" t="n">
        <x:v>0.0073360184119677</x:v>
      </x:c>
      <x:c r="Q68" s="26" t="n">
        <x:v>0.056648444</x:v>
      </x:c>
      <x:c r="R68" s="26" t="n">
        <x:v>0.0080072880705792</x:v>
      </x:c>
      <x:c r="S68" s="26" t="n">
        <x:v>0.0071442270809359</x:v>
      </x:c>
      <x:c r="T68" s="41" t="b">
        <x:v>1</x:v>
      </x:c>
    </x:row>
    <x:row r="69">
      <x:c r="A69" s="25" t="str">
        <x:v>GROCERY</x:v>
      </x:c>
      <x:c r="B69" s="26" t="str">
        <x:v>PASTA SAUCE</x:v>
      </x:c>
      <x:c r="C69" s="39" t="b">
        <x:v>1</x:v>
      </x:c>
      <x:c r="D69" s="39" t="b">
        <x:v>1</x:v>
      </x:c>
      <x:c r="E69" s="39" t="b">
        <x:v>1</x:v>
      </x:c>
      <x:c r="F69" s="26" t="n">
        <x:v>183</x:v>
      </x:c>
      <x:c r="G69" s="26" t="n">
        <x:v>4870</x:v>
      </x:c>
      <x:c r="H69" s="26" t="n">
        <x:v>8833</x:v>
      </x:c>
      <x:c r="I69" s="26" t="n">
        <x:v>0.0035198494182067</x:v>
      </x:c>
      <x:c r="J69" s="26" t="n">
        <x:v>0.008253133</x:v>
      </x:c>
      <x:c r="K69" s="26" t="n">
        <x:v>0.007887291809263</x:v>
      </x:c>
      <x:c r="L69" s="26" t="n">
        <x:v>0.0039715947980835</x:v>
      </x:c>
      <x:c r="M69" s="26" t="n">
        <x:v>116</x:v>
      </x:c>
      <x:c r="N69" s="26" t="n">
        <x:v>1350</x:v>
      </x:c>
      <x:c r="O69" s="26" t="n">
        <x:v>1650</x:v>
      </x:c>
      <x:c r="P69" s="26" t="n">
        <x:v>0.0051851851851851</x:v>
      </x:c>
      <x:c r="Q69" s="26" t="n">
        <x:v>0.006933333</x:v>
      </x:c>
      <x:c r="R69" s="26" t="n">
        <x:v>0.0044444444444444</x:v>
      </x:c>
      <x:c r="S69" s="26" t="n">
        <x:v>0.0059259259259259</x:v>
      </x:c>
      <x:c r="T69" s="41" t="b">
        <x:v>1</x:v>
      </x:c>
    </x:row>
    <x:row r="70">
      <x:c r="A70" s="25" t="str">
        <x:v>GROCERY</x:v>
      </x:c>
      <x:c r="B70" s="26" t="str">
        <x:v>REFRGRATD DOUGH PRODUCTS</x:v>
      </x:c>
      <x:c r="C70" s="39" t="b">
        <x:v>1</x:v>
      </x:c>
      <x:c r="D70" s="39" t="b">
        <x:v>1</x:v>
      </x:c>
      <x:c r="E70" s="39" t="b">
        <x:v>1</x:v>
      </x:c>
      <x:c r="F70" s="26" t="n">
        <x:v>254</x:v>
      </x:c>
      <x:c r="G70" s="26" t="n">
        <x:v>7314</x:v>
      </x:c>
      <x:c r="H70" s="26" t="n">
        <x:v>19860</x:v>
      </x:c>
      <x:c r="I70" s="26" t="n">
        <x:v>0.0053585781641565</x:v>
      </x:c>
      <x:c r="J70" s="26" t="n">
        <x:v>0.01216911</x:v>
      </x:c>
      <x:c r="K70" s="26" t="n">
        <x:v>0.0108140962734892</x:v>
      </x:c>
      <x:c r="L70" s="26" t="n">
        <x:v>0.0061251850115672</x:v>
      </x:c>
      <x:c r="M70" s="26" t="n">
        <x:v>253</x:v>
      </x:c>
      <x:c r="N70" s="26" t="n">
        <x:v>9404</x:v>
      </x:c>
      <x:c r="O70" s="26" t="n">
        <x:v>20459</x:v>
      </x:c>
      <x:c r="P70" s="26" t="n">
        <x:v>0.0060141581090113</x:v>
      </x:c>
      <x:c r="Q70" s="26" t="n">
        <x:v>0.014295612</x:v>
      </x:c>
      <x:c r="R70" s="26" t="n">
        <x:v>0.011330791355249</x:v>
      </x:c>
      <x:c r="S70" s="26" t="n">
        <x:v>0.0072545961529372</x:v>
      </x:c>
      <x:c r="T70" s="41" t="b">
        <x:v>1</x:v>
      </x:c>
    </x:row>
    <x:row r="71">
      <x:c r="A71" s="25" t="str">
        <x:v>GROCERY</x:v>
      </x:c>
      <x:c r="B71" s="26" t="str">
        <x:v>REFRGRATD JUICES/DRNKS</x:v>
      </x:c>
      <x:c r="C71" s="39" t="b">
        <x:v>1</x:v>
      </x:c>
      <x:c r="D71" s="39" t="b">
        <x:v>1</x:v>
      </x:c>
      <x:c r="E71" s="39" t="b">
        <x:v>1</x:v>
      </x:c>
      <x:c r="F71" s="26" t="n">
        <x:v>284</x:v>
      </x:c>
      <x:c r="G71" s="26" t="n">
        <x:v>7638</x:v>
      </x:c>
      <x:c r="H71" s="26" t="n">
        <x:v>28038</x:v>
      </x:c>
      <x:c r="I71" s="26" t="n">
        <x:v>0.0065354450762934</x:v>
      </x:c>
      <x:c r="J71" s="26" t="n">
        <x:v>0.014621696</x:v>
      </x:c>
      <x:c r="K71" s="26" t="n">
        <x:v>0.0124605625257561</x:v>
      </x:c>
      <x:c r="L71" s="26" t="n">
        <x:v>0.0084282715604627</x:v>
      </x:c>
      <x:c r="M71" s="26" t="n">
        <x:v>235</x:v>
      </x:c>
      <x:c r="N71" s="26" t="n">
        <x:v>11092</x:v>
      </x:c>
      <x:c r="O71" s="26" t="n">
        <x:v>35767</x:v>
      </x:c>
      <x:c r="P71" s="26" t="n">
        <x:v>0.006235821392015</x:v>
      </x:c>
      <x:c r="Q71" s="26" t="n">
        <x:v>0.011664269</x:v>
      </x:c>
      <x:c r="R71" s="26" t="n">
        <x:v>0.0087316466790411</x:v>
      </x:c>
      <x:c r="S71" s="26" t="n">
        <x:v>0.0063344130475847</x:v>
      </x:c>
      <x:c r="T71" s="41" t="b">
        <x:v>1</x:v>
      </x:c>
    </x:row>
    <x:row r="72">
      <x:c r="A72" s="25" t="str">
        <x:v>GROCERY</x:v>
      </x:c>
      <x:c r="B72" s="26" t="str">
        <x:v>SALD DRSNG/SNDWCH SPRD</x:v>
      </x:c>
      <x:c r="C72" s="39" t="b">
        <x:v>1</x:v>
      </x:c>
      <x:c r="D72" s="39" t="b">
        <x:v>1</x:v>
      </x:c>
      <x:c r="E72" s="39" t="b">
        <x:v>1</x:v>
      </x:c>
      <x:c r="F72" s="26" t="n">
        <x:v>278</x:v>
      </x:c>
      <x:c r="G72" s="26" t="n">
        <x:v>9373</x:v>
      </x:c>
      <x:c r="H72" s="26" t="n">
        <x:v>41511</x:v>
      </x:c>
      <x:c r="I72" s="26" t="n">
        <x:v>0.0059709758671227</x:v>
      </x:c>
      <x:c r="J72" s="26" t="n">
        <x:v>0.0116260685</x:v>
      </x:c>
      <x:c r="K72" s="26" t="n">
        <x:v>0.0077427319874341</x:v>
      </x:c>
      <x:c r="L72" s="26" t="n">
        <x:v>0.0066970135047392</x:v>
      </x:c>
      <x:c r="M72" s="26" t="n">
        <x:v>212</x:v>
      </x:c>
      <x:c r="N72" s="26" t="n">
        <x:v>7698</x:v>
      </x:c>
      <x:c r="O72" s="26" t="n">
        <x:v>16682</x:v>
      </x:c>
      <x:c r="P72" s="26" t="n">
        <x:v>0.0022133145282015</x:v>
      </x:c>
      <x:c r="Q72" s="26" t="n">
        <x:v>0.0047857896</x:v>
      </x:c>
      <x:c r="R72" s="26" t="n">
        <x:v>0.0026097275317852</x:v>
      </x:c>
      <x:c r="S72" s="26" t="n">
        <x:v>0.0018850495078086</x:v>
      </x:c>
      <x:c r="T72" s="41" t="b">
        <x:v>1</x:v>
      </x:c>
    </x:row>
    <x:row r="73">
      <x:c r="A73" s="25" t="str">
        <x:v>GROCERY</x:v>
      </x:c>
      <x:c r="B73" s="26" t="str">
        <x:v>SEAFOOD - SHELF STABLE</x:v>
      </x:c>
      <x:c r="C73" s="39" t="b">
        <x:v>1</x:v>
      </x:c>
      <x:c r="D73" s="39" t="b">
        <x:v>1</x:v>
      </x:c>
      <x:c r="E73" s="39" t="b">
        <x:v>1</x:v>
      </x:c>
      <x:c r="F73" s="26" t="n">
        <x:v>60</x:v>
      </x:c>
      <x:c r="G73" s="26" t="n">
        <x:v>1910</x:v>
      </x:c>
      <x:c r="H73" s="26" t="n">
        <x:v>4111</x:v>
      </x:c>
      <x:c r="I73" s="26" t="n">
        <x:v>0.0116404886561954</x:v>
      </x:c>
      <x:c r="J73" s="26" t="n">
        <x:v>0.046702098</x:v>
      </x:c>
      <x:c r="K73" s="26" t="n">
        <x:v>0.0680191972076788</x:v>
      </x:c>
      <x:c r="L73" s="26" t="n">
        <x:v>0.0172338568935427</x:v>
      </x:c>
      <x:c r="M73" s="26" t="n">
        <x:v>18</x:v>
      </x:c>
      <x:c r="N73" s="26" t="n">
        <x:v>404</x:v>
      </x:c>
      <x:c r="O73" s="26" t="n">
        <x:v>423</x:v>
      </x:c>
      <x:c r="P73" s="26" t="n">
        <x:v>0.0099009900990099</x:v>
      </x:c>
      <x:c r="Q73" s="26" t="n">
        <x:v>0.013106436</x:v>
      </x:c>
      <x:c r="R73" s="26" t="n">
        <x:v>0.0408415841584158</x:v>
      </x:c>
      <x:c r="S73" s="26" t="n">
        <x:v>0.0123762376237623</x:v>
      </x:c>
      <x:c r="T73" s="41" t="b">
        <x:v>1</x:v>
      </x:c>
    </x:row>
    <x:row r="74">
      <x:c r="A74" s="25" t="str">
        <x:v>GROCERY</x:v>
      </x:c>
      <x:c r="B74" s="26" t="str">
        <x:v>SOFT DRINKS</x:v>
      </x:c>
      <x:c r="C74" s="39" t="b">
        <x:v>1</x:v>
      </x:c>
      <x:c r="D74" s="39" t="b">
        <x:v>1</x:v>
      </x:c>
      <x:c r="E74" s="39" t="b">
        <x:v>1</x:v>
      </x:c>
      <x:c r="F74" s="26" t="n">
        <x:v>1019</x:v>
      </x:c>
      <x:c r="G74" s="26" t="n">
        <x:v>29025</x:v>
      </x:c>
      <x:c r="H74" s="26" t="n">
        <x:v>131657</x:v>
      </x:c>
      <x:c r="I74" s="26" t="n">
        <x:v>0.01266805652611</x:v>
      </x:c>
      <x:c r="J74" s="26" t="n">
        <x:v>0.05731826</x:v>
      </x:c>
      <x:c r="K74" s="26" t="n">
        <x:v>0.0329508715621975</x:v>
      </x:c>
      <x:c r="L74" s="26" t="n">
        <x:v>0.0169117049731042</x:v>
      </x:c>
      <x:c r="M74" s="26" t="n">
        <x:v>878</x:v>
      </x:c>
      <x:c r="N74" s="26" t="n">
        <x:v>37636</x:v>
      </x:c>
      <x:c r="O74" s="26" t="n">
        <x:v>218550</x:v>
      </x:c>
      <x:c r="P74" s="26" t="n">
        <x:v>0.0093179958407612</x:v>
      </x:c>
      <x:c r="Q74" s="26" t="n">
        <x:v>0.040446393</x:v>
      </x:c>
      <x:c r="R74" s="26" t="n">
        <x:v>0.0208632281844684</x:v>
      </x:c>
      <x:c r="S74" s="26" t="n">
        <x:v>0.012639219976359</x:v>
      </x:c>
      <x:c r="T74" s="41" t="b">
        <x:v>1</x:v>
      </x:c>
    </x:row>
    <x:row r="75">
      <x:c r="A75" s="25" t="str">
        <x:v>GROCERY</x:v>
      </x:c>
      <x:c r="B75" s="26" t="str">
        <x:v>SOUP</x:v>
      </x:c>
      <x:c r="C75" s="39" t="b">
        <x:v>1</x:v>
      </x:c>
      <x:c r="D75" s="39" t="b">
        <x:v>1</x:v>
      </x:c>
      <x:c r="E75" s="39" t="b">
        <x:v>1</x:v>
      </x:c>
      <x:c r="F75" s="26" t="n">
        <x:v>339</x:v>
      </x:c>
      <x:c r="G75" s="26" t="n">
        <x:v>10320</x:v>
      </x:c>
      <x:c r="H75" s="26" t="n">
        <x:v>29036</x:v>
      </x:c>
      <x:c r="I75" s="26" t="n">
        <x:v>0.0082811315514803</x:v>
      </x:c>
      <x:c r="J75" s="26" t="n">
        <x:v>0.017386006</x:v>
      </x:c>
      <x:c r="K75" s="26" t="n">
        <x:v>0.0308361642663968</x:v>
      </x:c>
      <x:c r="L75" s="26" t="n">
        <x:v>0.0111054363379944</x:v>
      </x:c>
      <x:c r="M75" s="26" t="n">
        <x:v>243</x:v>
      </x:c>
      <x:c r="N75" s="26" t="n">
        <x:v>6720</x:v>
      </x:c>
      <x:c r="O75" s="26" t="n">
        <x:v>11110</x:v>
      </x:c>
      <x:c r="P75" s="26" t="n">
        <x:v>0.0095337301587301</x:v>
      </x:c>
      <x:c r="Q75" s="26" t="n">
        <x:v>0.016242238</x:v>
      </x:c>
      <x:c r="R75" s="26" t="n">
        <x:v>0.0162872023809523</x:v>
      </x:c>
      <x:c r="S75" s="26" t="n">
        <x:v>0.0121478174603174</x:v>
      </x:c>
      <x:c r="T75" s="41" t="b">
        <x:v>1</x:v>
      </x:c>
    </x:row>
    <x:row r="76">
      <x:c r="A76" s="25" t="str">
        <x:v>GROCERY</x:v>
      </x:c>
      <x:c r="B76" s="26" t="str">
        <x:v>SPICES &amp; EXTRACTS</x:v>
      </x:c>
      <x:c r="C76" s="39" t="b">
        <x:v>1</x:v>
      </x:c>
      <x:c r="D76" s="39" t="b">
        <x:v>1</x:v>
      </x:c>
      <x:c r="E76" s="39" t="b">
        <x:v>1</x:v>
      </x:c>
      <x:c r="F76" s="26" t="n">
        <x:v>157</x:v>
      </x:c>
      <x:c r="G76" s="26" t="n">
        <x:v>3374</x:v>
      </x:c>
      <x:c r="H76" s="26" t="n">
        <x:v>7115</x:v>
      </x:c>
      <x:c r="I76" s="26" t="n">
        <x:v>0.0001975894092076</x:v>
      </x:c>
      <x:c r="J76" s="26" t="n">
        <x:v>0.0042066504</x:v>
      </x:c>
      <x:c r="K76" s="26" t="n">
        <x:v>0.0001481920569057</x:v>
      </x:c>
      <x:c r="L76" s="26" t="n">
        <x:v>0.00004939735230191661</x:v>
      </x:c>
      <x:c r="M76" s="26" t="n">
        <x:v>135</x:v>
      </x:c>
      <x:c r="N76" s="26" t="n">
        <x:v>2387</x:v>
      </x:c>
      <x:c r="O76" s="26" t="n">
        <x:v>3660</x:v>
      </x:c>
      <x:c r="P76" s="26" t="n">
        <x:v>0.0036656891495601</x:v>
      </x:c>
      <x:c r="Q76" s="26" t="n">
        <x:v>0.01353931</x:v>
      </x:c>
      <x:c r="R76" s="26" t="n">
        <x:v>0.0050621421589163</x:v>
      </x:c>
      <x:c r="S76" s="26" t="n">
        <x:v>0.0036656891495601</x:v>
      </x:c>
      <x:c r="T76" s="41" t="b">
        <x:v>1</x:v>
      </x:c>
    </x:row>
    <x:row r="77">
      <x:c r="A77" s="25" t="str">
        <x:v>GROCERY</x:v>
      </x:c>
      <x:c r="B77" s="26" t="str">
        <x:v>SUGARS/SWEETNERS</x:v>
      </x:c>
      <x:c r="C77" s="39" t="b">
        <x:v>1</x:v>
      </x:c>
      <x:c r="D77" s="39" t="b">
        <x:v>1</x:v>
      </x:c>
      <x:c r="E77" s="39" t="b">
        <x:v>1</x:v>
      </x:c>
      <x:c r="F77" s="26" t="n">
        <x:v>30</x:v>
      </x:c>
      <x:c r="G77" s="26" t="n">
        <x:v>1521</x:v>
      </x:c>
      <x:c r="H77" s="26" t="n">
        <x:v>3857</x:v>
      </x:c>
      <x:c r="I77" s="26" t="n">
        <x:v>0.0103970341149828</x:v>
      </x:c>
      <x:c r="J77" s="26" t="n">
        <x:v>0.040094268</x:v>
      </x:c>
      <x:c r="K77" s="26" t="n">
        <x:v>0.0165899627438089</x:v>
      </x:c>
      <x:c r="L77" s="26" t="n">
        <x:v>0.0092819573588804</x:v>
      </x:c>
      <x:c r="M77" s="26" t="n">
        <x:v>15</x:v>
      </x:c>
      <x:c r="N77" s="26" t="n">
        <x:v>409</x:v>
      </x:c>
      <x:c r="O77" s="26" t="n">
        <x:v>482</x:v>
      </x:c>
      <x:c r="P77" s="26" t="n">
        <x:v>0.0158924205378973</x:v>
      </x:c>
      <x:c r="Q77" s="26" t="n">
        <x:v>0.060953543</x:v>
      </x:c>
      <x:c r="R77" s="26" t="n">
        <x:v>0.0378973105134474</x:v>
      </x:c>
      <x:c r="S77" s="26" t="n">
        <x:v>0.0281173594132029</x:v>
      </x:c>
      <x:c r="T77" s="41" t="b">
        <x:v>1</x:v>
      </x:c>
    </x:row>
    <x:row r="78">
      <x:c r="A78" s="25" t="str">
        <x:v>GROCERY</x:v>
      </x:c>
      <x:c r="B78" s="26" t="str">
        <x:v>VEGETABLES - SHELF STABLE</x:v>
      </x:c>
      <x:c r="C78" s="39" t="b">
        <x:v>1</x:v>
      </x:c>
      <x:c r="D78" s="39" t="b">
        <x:v>1</x:v>
      </x:c>
      <x:c r="E78" s="39" t="b">
        <x:v>1</x:v>
      </x:c>
      <x:c r="F78" s="26" t="n">
        <x:v>266</x:v>
      </x:c>
      <x:c r="G78" s="26" t="n">
        <x:v>9594</x:v>
      </x:c>
      <x:c r="H78" s="26" t="n">
        <x:v>49958</x:v>
      </x:c>
      <x:c r="I78" s="26" t="n">
        <x:v>0.0074259552446746</x:v>
      </x:c>
      <x:c r="J78" s="26" t="n">
        <x:v>0.012824058</x:v>
      </x:c>
      <x:c r="K78" s="26" t="n">
        <x:v>0.0178501547155669</x:v>
      </x:c>
      <x:c r="L78" s="26" t="n">
        <x:v>0.0087161963136837</x:v>
      </x:c>
      <x:c r="M78" s="26" t="n">
        <x:v>208</x:v>
      </x:c>
      <x:c r="N78" s="26" t="n">
        <x:v>7536</x:v>
      </x:c>
      <x:c r="O78" s="26" t="n">
        <x:v>16524</x:v>
      </x:c>
      <x:c r="P78" s="26" t="n">
        <x:v>0.0024183917197452</x:v>
      </x:c>
      <x:c r="Q78" s="26" t="n">
        <x:v>0.0058268704</x:v>
      </x:c>
      <x:c r="R78" s="26" t="n">
        <x:v>0.0143334217975937</x:v>
      </x:c>
      <x:c r="S78" s="26" t="n">
        <x:v>0.0024551991709635</x:v>
      </x:c>
      <x:c r="T78" s="41" t="b">
        <x:v>1</x:v>
      </x:c>
    </x:row>
    <x:row r="79">
      <x:c r="A79" s="25" t="str">
        <x:v>GROCERY</x:v>
      </x:c>
      <x:c r="B79" s="26" t="str">
        <x:v>WAREHOUSE SNACKS</x:v>
      </x:c>
      <x:c r="C79" s="39" t="b">
        <x:v>1</x:v>
      </x:c>
      <x:c r="D79" s="39" t="b">
        <x:v>1</x:v>
      </x:c>
      <x:c r="E79" s="39" t="b">
        <x:v>1</x:v>
      </x:c>
      <x:c r="F79" s="26" t="n">
        <x:v>120</x:v>
      </x:c>
      <x:c r="G79" s="26" t="n">
        <x:v>4881</x:v>
      </x:c>
      <x:c r="H79" s="26" t="n">
        <x:v>14354</x:v>
      </x:c>
      <x:c r="I79" s="26" t="n">
        <x:v>0.0129518447588515</x:v>
      </x:c>
      <x:c r="J79" s="26" t="n">
        <x:v>0.017372182</x:v>
      </x:c>
      <x:c r="K79" s="26" t="n">
        <x:v>0.0191676451664159</x:v>
      </x:c>
      <x:c r="L79" s="26" t="n">
        <x:v>0.0155591363950306</x:v>
      </x:c>
      <x:c r="M79" s="26" t="n">
        <x:v>110</x:v>
      </x:c>
      <x:c r="N79" s="26" t="n">
        <x:v>4775</x:v>
      </x:c>
      <x:c r="O79" s="26" t="n">
        <x:v>7773</x:v>
      </x:c>
      <x:c r="P79" s="26" t="n">
        <x:v>0.0099732402559627</x:v>
      </x:c>
      <x:c r="Q79" s="26" t="n">
        <x:v>0.016915137</x:v>
      </x:c>
      <x:c r="R79" s="26" t="n">
        <x:v>0.0168993600930773</x:v>
      </x:c>
      <x:c r="S79" s="26" t="n">
        <x:v>0.0115322862129144</x:v>
      </x:c>
      <x:c r="T79" s="41" t="b">
        <x:v>1</x:v>
      </x:c>
    </x:row>
    <x:row r="80">
      <x:c r="A80" s="25" t="str">
        <x:v>GROCERY</x:v>
      </x:c>
      <x:c r="B80" s="26" t="str">
        <x:v>WATER - CARBONATED/FLVRD DRINK</x:v>
      </x:c>
      <x:c r="C80" s="39" t="b">
        <x:v>1</x:v>
      </x:c>
      <x:c r="D80" s="39" t="b">
        <x:v>1</x:v>
      </x:c>
      <x:c r="E80" s="39" t="b">
        <x:v>1</x:v>
      </x:c>
      <x:c r="F80" s="26" t="n">
        <x:v>151</x:v>
      </x:c>
      <x:c r="G80" s="26" t="n">
        <x:v>6683</x:v>
      </x:c>
      <x:c r="H80" s="26" t="n">
        <x:v>25366</x:v>
      </x:c>
      <x:c r="I80" s="26" t="n">
        <x:v>0.005197950585501</x:v>
      </x:c>
      <x:c r="J80" s="26" t="n">
        <x:v>0.020816036</x:v>
      </x:c>
      <x:c r="K80" s="26" t="n">
        <x:v>0.0142900476582954</x:v>
      </x:c>
      <x:c r="L80" s="26" t="n">
        <x:v>0.0066165157684684</x:v>
      </x:c>
      <x:c r="M80" s="26" t="n">
        <x:v>102</x:v>
      </x:c>
      <x:c r="N80" s="26" t="n">
        <x:v>3376</x:v>
      </x:c>
      <x:c r="O80" s="26" t="n">
        <x:v>7375</x:v>
      </x:c>
      <x:c r="P80" s="26" t="n">
        <x:v>0.0060130331753554</x:v>
      </x:c>
      <x:c r="Q80" s="26" t="n">
        <x:v>0.02125496</x:v>
      </x:c>
      <x:c r="R80" s="26" t="n">
        <x:v>0.00955131460167</x:v>
      </x:c>
      <x:c r="S80" s="26" t="n">
        <x:v>0.007434128864816</x:v>
      </x:c>
      <x:c r="T80" s="41" t="b">
        <x:v>1</x:v>
      </x:c>
    </x:row>
    <x:row r="81">
      <x:c r="A81" s="25" t="str">
        <x:v>GROCERY</x:v>
      </x:c>
      <x:c r="B81" s="26" t="str">
        <x:v>YOGURT</x:v>
      </x:c>
      <x:c r="C81" s="39" t="b">
        <x:v>1</x:v>
      </x:c>
      <x:c r="D81" s="39" t="b">
        <x:v>1</x:v>
      </x:c>
      <x:c r="E81" s="39" t="b">
        <x:v>1</x:v>
      </x:c>
      <x:c r="F81" s="26" t="n">
        <x:v>494</x:v>
      </x:c>
      <x:c r="G81" s="26" t="n">
        <x:v>6105</x:v>
      </x:c>
      <x:c r="H81" s="26" t="n">
        <x:v>11637</x:v>
      </x:c>
      <x:c r="I81" s="26" t="n">
        <x:v>0.0042886392886392</x:v>
      </x:c>
      <x:c r="J81" s="26" t="n">
        <x:v>0.0050815293</x:v>
      </x:c>
      <x:c r="K81" s="26" t="n">
        <x:v>0.008026013026013</x:v>
      </x:c>
      <x:c r="L81" s="26" t="n">
        <x:v>0.0045534495534495</x:v>
      </x:c>
      <x:c r="M81" s="26" t="n">
        <x:v>448</x:v>
      </x:c>
      <x:c r="N81" s="26" t="n">
        <x:v>15809</x:v>
      </x:c>
      <x:c r="O81" s="26" t="n">
        <x:v>28579</x:v>
      </x:c>
      <x:c r="P81" s="26" t="n">
        <x:v>0.0037170659268831</x:v>
      </x:c>
      <x:c r="Q81" s="26" t="n">
        <x:v>0.0014516913</x:v>
      </x:c>
      <x:c r="R81" s="26" t="n">
        <x:v>0.0062591682254532</x:v>
      </x:c>
      <x:c r="S81" s="26" t="n">
        <x:v>0.0034914560422182</x:v>
      </x:c>
      <x:c r="T81" s="41" t="b">
        <x:v>1</x:v>
      </x:c>
    </x:row>
    <x:row r="82">
      <x:c r="A82" s="25" t="str">
        <x:v>MEAT</x:v>
      </x:c>
      <x:c r="B82" s="26" t="str">
        <x:v>BEEF</x:v>
      </x:c>
      <x:c r="C82" s="39" t="b">
        <x:v>1</x:v>
      </x:c>
      <x:c r="D82" s="39" t="b">
        <x:v>1</x:v>
      </x:c>
      <x:c r="E82" s="39" t="b">
        <x:v>1</x:v>
      </x:c>
      <x:c r="F82" s="26" t="n">
        <x:v>13</x:v>
      </x:c>
      <x:c r="G82" s="26" t="n">
        <x:v>155</x:v>
      </x:c>
      <x:c r="H82" s="26" t="n">
        <x:v>439</x:v>
      </x:c>
      <x:c r="I82" s="26" t="n">
        <x:v>0.0068356374807987</x:v>
      </x:c>
      <x:c r="J82" s="26" t="n">
        <x:v>0.09459294</x:v>
      </x:c>
      <x:c r="K82" s="26" t="n">
        <x:v>0.0135176651305683</x:v>
      </x:c>
      <x:c r="L82" s="26" t="n">
        <x:v>0.0068356374807987</x:v>
      </x:c>
      <x:c r="M82" s="26" t="n">
        <x:v>24</x:v>
      </x:c>
      <x:c r="N82" s="26" t="n">
        <x:v>428</x:v>
      </x:c>
      <x:c r="O82" s="26" t="n">
        <x:v>699</x:v>
      </x:c>
      <x:c r="P82" s="26" t="n">
        <x:v>0.011721183800623</x:v>
      </x:c>
      <x:c r="Q82" s="26" t="n">
        <x:v>0.08102181</x:v>
      </x:c>
      <x:c r="R82" s="26" t="n">
        <x:v>0.0185358255451713</x:v>
      </x:c>
      <x:c r="S82" s="26" t="n">
        <x:v>0.0168613707165109</x:v>
      </x:c>
      <x:c r="T82" s="41" t="b">
        <x:v>1</x:v>
      </x:c>
    </x:row>
    <x:row r="83">
      <x:c r="A83" s="25" t="str">
        <x:v>MEAT</x:v>
      </x:c>
      <x:c r="B83" s="26" t="str">
        <x:v>CHICKEN</x:v>
      </x:c>
      <x:c r="C83" s="39" t="b">
        <x:v>1</x:v>
      </x:c>
      <x:c r="D83" s="39" t="b">
        <x:v>1</x:v>
      </x:c>
      <x:c r="E83" s="39" t="b">
        <x:v>1</x:v>
      </x:c>
      <x:c r="F83" s="26" t="n">
        <x:v>4</x:v>
      </x:c>
      <x:c r="G83" s="26" t="n">
        <x:v>80</x:v>
      </x:c>
      <x:c r="H83" s="26" t="n">
        <x:v>156</x:v>
      </x:c>
      <x:c r="I83" s="26" t="n">
        <x:v>0.03125</x:v>
      </x:c>
      <x:c r="J83" s="26" t="n">
        <x:v>0.21843748</x:v>
      </x:c>
      <x:c r="K83" s="26" t="n">
        <x:v>0.03125</x:v>
      </x:c>
      <x:c r="L83" s="26" t="n">
        <x:v>0.03125</x:v>
      </x:c>
      <x:c r="M83" s="26" t="n">
        <x:v>7</x:v>
      </x:c>
      <x:c r="N83" s="26" t="n">
        <x:v>72</x:v>
      </x:c>
      <x:c r="O83" s="26" t="n">
        <x:v>78</x:v>
      </x:c>
      <x:c r="P83" s="26" t="n">
        <x:v>0.0138888888888888</x:v>
      </x:c>
      <x:c r="Q83" s="26" t="n">
        <x:v>0.09708333</x:v>
      </x:c>
      <x:c r="R83" s="26" t="n">
        <x:v>0.0138888888888888</x:v>
      </x:c>
      <x:c r="S83" s="26" t="n">
        <x:v>0.0138888888888888</x:v>
      </x:c>
      <x:c r="T83" s="41" t="b">
        <x:v>1</x:v>
      </x:c>
    </x:row>
    <x:row r="84">
      <x:c r="A84" s="25" t="str">
        <x:v>MEAT</x:v>
      </x:c>
      <x:c r="B84" s="26" t="str">
        <x:v>TURKEY</x:v>
      </x:c>
      <x:c r="C84" s="39" t="b">
        <x:v>1</x:v>
      </x:c>
      <x:c r="D84" s="39" t="b">
        <x:v>1</x:v>
      </x:c>
      <x:c r="E84" s="39" t="b">
        <x:v>1</x:v>
      </x:c>
      <x:c r="F84" s="26" t="n">
        <x:v>4</x:v>
      </x:c>
      <x:c r="G84" s="26" t="n">
        <x:v>46</x:v>
      </x:c>
      <x:c r="H84" s="26" t="n">
        <x:v>67</x:v>
      </x:c>
      <x:c r="I84" s="26" t="n">
        <x:v>0.0597826086956521</x:v>
      </x:c>
      <x:c r="J84" s="26" t="n">
        <x:v>0.21918479</x:v>
      </x:c>
      <x:c r="K84" s="26" t="n">
        <x:v>0.2717391304347826</x:v>
      </x:c>
      <x:c r="L84" s="26" t="n">
        <x:v>0.0815217391304347</x:v>
      </x:c>
      <x:c r="M84" s="26" t="n">
        <x:v>3</x:v>
      </x:c>
      <x:c r="N84" s="26" t="n">
        <x:v>37</x:v>
      </x:c>
      <x:c r="O84" s="26" t="n">
        <x:v>39</x:v>
      </x:c>
      <x:c r="P84" s="26" t="n">
        <x:v>0.027027027027027</x:v>
      </x:c>
      <x:c r="Q84" s="26" t="n">
        <x:v>0.19459459</x:v>
      </x:c>
      <x:c r="R84" s="26" t="n">
        <x:v>0.1081081081081081</x:v>
      </x:c>
      <x:c r="S84" s="26" t="n">
        <x:v>0.054054054054054</x:v>
      </x:c>
      <x:c r="T84" s="41" t="b">
        <x:v>1</x:v>
      </x:c>
    </x:row>
    <x:row r="85">
      <x:c r="A85" s="25" t="str">
        <x:v>MEAT-PCKGD</x:v>
      </x:c>
      <x:c r="B85" s="26" t="str">
        <x:v>BACON</x:v>
      </x:c>
      <x:c r="C85" s="39" t="b">
        <x:v>1</x:v>
      </x:c>
      <x:c r="D85" s="39" t="b">
        <x:v>1</x:v>
      </x:c>
      <x:c r="E85" s="39" t="b">
        <x:v>1</x:v>
      </x:c>
      <x:c r="F85" s="26" t="n">
        <x:v>80</x:v>
      </x:c>
      <x:c r="G85" s="26" t="n">
        <x:v>2767</x:v>
      </x:c>
      <x:c r="H85" s="26" t="n">
        <x:v>9156</x:v>
      </x:c>
      <x:c r="I85" s="26" t="n">
        <x:v>0.0263004964757765</x:v>
      </x:c>
      <x:c r="J85" s="26" t="n">
        <x:v>0.1115601</x:v>
      </x:c>
      <x:c r="K85" s="26" t="n">
        <x:v>0.0483069494453665</x:v>
      </x:c>
      <x:c r="L85" s="26" t="n">
        <x:v>0.0300448377065652</x:v>
      </x:c>
      <x:c r="M85" s="26" t="n">
        <x:v>51</x:v>
      </x:c>
      <x:c r="N85" s="26" t="n">
        <x:v>4513</x:v>
      </x:c>
      <x:c r="O85" s="26" t="n">
        <x:v>19044</x:v>
      </x:c>
      <x:c r="P85" s="26" t="n">
        <x:v>0.0162216159889547</x:v>
      </x:c>
      <x:c r="Q85" s="26" t="n">
        <x:v>0.0896971</x:v>
      </x:c>
      <x:c r="R85" s="26" t="n">
        <x:v>0.0373856213707753</x:v>
      </x:c>
      <x:c r="S85" s="26" t="n">
        <x:v>0.0212650491788537</x:v>
      </x:c>
      <x:c r="T85" s="41" t="b">
        <x:v>1</x:v>
      </x:c>
    </x:row>
    <x:row r="86">
      <x:c r="A86" s="25" t="str">
        <x:v>MEAT-PCKGD</x:v>
      </x:c>
      <x:c r="B86" s="26" t="str">
        <x:v>BREAKFAST SAUSAGE/SANDWICHES</x:v>
      </x:c>
      <x:c r="C86" s="39" t="b">
        <x:v>1</x:v>
      </x:c>
      <x:c r="D86" s="39" t="b">
        <x:v>1</x:v>
      </x:c>
      <x:c r="E86" s="39" t="b">
        <x:v>1</x:v>
      </x:c>
      <x:c r="F86" s="26" t="n">
        <x:v>136</x:v>
      </x:c>
      <x:c r="G86" s="26" t="n">
        <x:v>4357</x:v>
      </x:c>
      <x:c r="H86" s="26" t="n">
        <x:v>14188</x:v>
      </x:c>
      <x:c r="I86" s="26" t="n">
        <x:v>0.0245320486228768</x:v>
      </x:c>
      <x:c r="J86" s="26" t="n">
        <x:v>0.08092061</x:v>
      </x:c>
      <x:c r="K86" s="26" t="n">
        <x:v>0.0513083803825968</x:v>
      </x:c>
      <x:c r="L86" s="26" t="n">
        <x:v>0.0277922210186239</x:v>
      </x:c>
      <x:c r="M86" s="26" t="n">
        <x:v>109</x:v>
      </x:c>
      <x:c r="N86" s="26" t="n">
        <x:v>6624</x:v>
      </x:c>
      <x:c r="O86" s="26" t="n">
        <x:v>25292</x:v>
      </x:c>
      <x:c r="P86" s="26" t="n">
        <x:v>0.0129750730180983</x:v>
      </x:c>
      <x:c r="Q86" s="26" t="n">
        <x:v>0.048065383</x:v>
      </x:c>
      <x:c r="R86" s="26" t="n">
        <x:v>0.021646777806198</x:v>
      </x:c>
      <x:c r="S86" s="26" t="n">
        <x:v>0.0146169680929644</x:v>
      </x:c>
      <x:c r="T86" s="41" t="b">
        <x:v>1</x:v>
      </x:c>
    </x:row>
    <x:row r="87">
      <x:c r="A87" s="25" t="str">
        <x:v>MEAT-PCKGD</x:v>
      </x:c>
      <x:c r="B87" s="26" t="str">
        <x:v>DINNER SAUSAGE</x:v>
      </x:c>
      <x:c r="C87" s="39" t="b">
        <x:v>1</x:v>
      </x:c>
      <x:c r="D87" s="39" t="b">
        <x:v>1</x:v>
      </x:c>
      <x:c r="E87" s="39" t="b">
        <x:v>1</x:v>
      </x:c>
      <x:c r="F87" s="26" t="n">
        <x:v>156</x:v>
      </x:c>
      <x:c r="G87" s="26" t="n">
        <x:v>6962</x:v>
      </x:c>
      <x:c r="H87" s="26" t="n">
        <x:v>26328</x:v>
      </x:c>
      <x:c r="I87" s="26" t="n">
        <x:v>0.0088672366550596</x:v>
      </x:c>
      <x:c r="J87" s="26" t="n">
        <x:v>0.024943005</x:v>
      </x:c>
      <x:c r="K87" s="26" t="n">
        <x:v>0.0147550364366019</x:v>
      </x:c>
      <x:c r="L87" s="26" t="n">
        <x:v>0.0101082040437702</x:v>
      </x:c>
      <x:c r="M87" s="26" t="n">
        <x:v>137</x:v>
      </x:c>
      <x:c r="N87" s="26" t="n">
        <x:v>10225</x:v>
      </x:c>
      <x:c r="O87" s="26" t="n">
        <x:v>33212</x:v>
      </x:c>
      <x:c r="P87" s="26" t="n">
        <x:v>0.008040569047904</x:v>
      </x:c>
      <x:c r="Q87" s="26" t="n">
        <x:v>0.027388876</x:v>
      </x:c>
      <x:c r="R87" s="26" t="n">
        <x:v>0.0138421961086997</x:v>
      </x:c>
      <x:c r="S87" s="26" t="n">
        <x:v>0.009809586501518</x:v>
      </x:c>
      <x:c r="T87" s="41" t="b">
        <x:v>1</x:v>
      </x:c>
    </x:row>
    <x:row r="88">
      <x:c r="A88" s="25" t="str">
        <x:v>MEAT-PCKGD</x:v>
      </x:c>
      <x:c r="B88" s="26" t="str">
        <x:v>FROZEN MEAT</x:v>
      </x:c>
      <x:c r="C88" s="39" t="b">
        <x:v>1</x:v>
      </x:c>
      <x:c r="D88" s="39" t="b">
        <x:v>1</x:v>
      </x:c>
      <x:c r="E88" s="39" t="b">
        <x:v>1</x:v>
      </x:c>
      <x:c r="F88" s="26" t="n">
        <x:v>166</x:v>
      </x:c>
      <x:c r="G88" s="26" t="n">
        <x:v>4075</x:v>
      </x:c>
      <x:c r="H88" s="26" t="n">
        <x:v>9301</x:v>
      </x:c>
      <x:c r="I88" s="26" t="n">
        <x:v>0.0103598459013851</x:v>
      </x:c>
      <x:c r="J88" s="26" t="n">
        <x:v>0.049088884</x:v>
      </x:c>
      <x:c r="K88" s="26" t="n">
        <x:v>0.0184630948212307</x:v>
      </x:c>
      <x:c r="L88" s="26" t="n">
        <x:v>0.0114833371448311</x:v>
      </x:c>
      <x:c r="M88" s="26" t="n">
        <x:v>83</x:v>
      </x:c>
      <x:c r="N88" s="26" t="n">
        <x:v>2163</x:v>
      </x:c>
      <x:c r="O88" s="26" t="n">
        <x:v>3136</x:v>
      </x:c>
      <x:c r="P88" s="26" t="n">
        <x:v>0.0039528432732316</x:v>
      </x:c>
      <x:c r="Q88" s="26" t="n">
        <x:v>0.008525889</x:v>
      </x:c>
      <x:c r="R88" s="26" t="n">
        <x:v>0.0036292186777623</x:v>
      </x:c>
      <x:c r="S88" s="26" t="n">
        <x:v>0.0038757897981198</x:v>
      </x:c>
      <x:c r="T88" s="41" t="b">
        <x:v>1</x:v>
      </x:c>
    </x:row>
    <x:row r="89">
      <x:c r="A89" s="25" t="str">
        <x:v>MEAT-PCKGD</x:v>
      </x:c>
      <x:c r="B89" s="26" t="str">
        <x:v>HEAT/SERVE</x:v>
      </x:c>
      <x:c r="C89" s="39" t="b">
        <x:v>1</x:v>
      </x:c>
      <x:c r="D89" s="39" t="b">
        <x:v>1</x:v>
      </x:c>
      <x:c r="E89" s="39" t="b">
        <x:v>1</x:v>
      </x:c>
      <x:c r="F89" s="26" t="n">
        <x:v>96</x:v>
      </x:c>
      <x:c r="G89" s="26" t="n">
        <x:v>3676</x:v>
      </x:c>
      <x:c r="H89" s="26" t="n">
        <x:v>20667</x:v>
      </x:c>
      <x:c r="I89" s="26" t="n">
        <x:v>0.0062716948080672</x:v>
      </x:c>
      <x:c r="J89" s="26" t="n">
        <x:v>0.032794632</x:v>
      </x:c>
      <x:c r="K89" s="26" t="n">
        <x:v>0.0115318274877728</x:v>
      </x:c>
      <x:c r="L89" s="26" t="n">
        <x:v>0.0076989651875951</x:v>
      </x:c>
      <x:c r="M89" s="26" t="n">
        <x:v>76</x:v>
      </x:c>
      <x:c r="N89" s="26" t="n">
        <x:v>3413</x:v>
      </x:c>
      <x:c r="O89" s="26" t="n">
        <x:v>8824</x:v>
      </x:c>
      <x:c r="P89" s="26" t="n">
        <x:v>0.0058475064994256</x:v>
      </x:c>
      <x:c r="Q89" s="26" t="n">
        <x:v>0.04867192</x:v>
      </x:c>
      <x:c r="R89" s="26" t="n">
        <x:v>0.0118340704774926</x:v>
      </x:c>
      <x:c r="S89" s="26" t="n">
        <x:v>0.0078813965277487</x:v>
      </x:c>
      <x:c r="T89" s="41" t="b">
        <x:v>1</x:v>
      </x:c>
    </x:row>
    <x:row r="90">
      <x:c r="A90" s="25" t="str">
        <x:v>MEAT-PCKGD</x:v>
      </x:c>
      <x:c r="B90" s="26" t="str">
        <x:v>HOT DOGS</x:v>
      </x:c>
      <x:c r="C90" s="39" t="b">
        <x:v>1</x:v>
      </x:c>
      <x:c r="D90" s="39" t="b">
        <x:v>1</x:v>
      </x:c>
      <x:c r="E90" s="39" t="b">
        <x:v>1</x:v>
      </x:c>
      <x:c r="F90" s="26" t="n">
        <x:v>63</x:v>
      </x:c>
      <x:c r="G90" s="26" t="n">
        <x:v>2470</x:v>
      </x:c>
      <x:c r="H90" s="26" t="n">
        <x:v>7929</x:v>
      </x:c>
      <x:c r="I90" s="26" t="n">
        <x:v>0.0227791347677348</x:v>
      </x:c>
      <x:c r="J90" s="26" t="n">
        <x:v>0.073981084</x:v>
      </x:c>
      <x:c r="K90" s="26" t="n">
        <x:v>0.0567224613755586</x:v>
      </x:c>
      <x:c r="L90" s="26" t="n">
        <x:v>0.0280377879395032</x:v>
      </x:c>
      <x:c r="M90" s="26" t="n">
        <x:v>55</x:v>
      </x:c>
      <x:c r="N90" s="26" t="n">
        <x:v>4036</x:v>
      </x:c>
      <x:c r="O90" s="26" t="n">
        <x:v>13140</x:v>
      </x:c>
      <x:c r="P90" s="26" t="n">
        <x:v>0.0126009527582867</x:v>
      </x:c>
      <x:c r="Q90" s="26" t="n">
        <x:v>0.0404628</x:v>
      </x:c>
      <x:c r="R90" s="26" t="n">
        <x:v>0.0318128298306692</x:v>
      </x:c>
      <x:c r="S90" s="26" t="n">
        <x:v>0.0164377688163614</x:v>
      </x:c>
      <x:c r="T90" s="41" t="b">
        <x:v>1</x:v>
      </x:c>
    </x:row>
    <x:row r="91">
      <x:c r="A91" s="25" t="str">
        <x:v>MEAT-PCKGD</x:v>
      </x:c>
      <x:c r="B91" s="26" t="str">
        <x:v>LUNCHMEAT</x:v>
      </x:c>
      <x:c r="C91" s="39" t="b">
        <x:v>1</x:v>
      </x:c>
      <x:c r="D91" s="39" t="b">
        <x:v>1</x:v>
      </x:c>
      <x:c r="E91" s="39" t="b">
        <x:v>1</x:v>
      </x:c>
      <x:c r="F91" s="26" t="n">
        <x:v>415</x:v>
      </x:c>
      <x:c r="G91" s="26" t="n">
        <x:v>7579</x:v>
      </x:c>
      <x:c r="H91" s="26" t="n">
        <x:v>14241</x:v>
      </x:c>
      <x:c r="I91" s="26" t="n">
        <x:v>0.0153832635822344</x:v>
      </x:c>
      <x:c r="J91" s="26" t="n">
        <x:v>0.03119087</x:v>
      </x:c>
      <x:c r="K91" s="26" t="n">
        <x:v>0.0294343639969712</x:v>
      </x:c>
      <x:c r="L91" s="26" t="n">
        <x:v>0.0183468094703086</x:v>
      </x:c>
      <x:c r="M91" s="26" t="n">
        <x:v>316</x:v>
      </x:c>
      <x:c r="N91" s="26" t="n">
        <x:v>14260</x:v>
      </x:c>
      <x:c r="O91" s="26" t="n">
        <x:v>21240</x:v>
      </x:c>
      <x:c r="P91" s="26" t="n">
        <x:v>0.0117546583850931</x:v>
      </x:c>
      <x:c r="Q91" s="26" t="n">
        <x:v>0.025875319</x:v>
      </x:c>
      <x:c r="R91" s="26" t="n">
        <x:v>0.0229710144927536</x:v>
      </x:c>
      <x:c r="S91" s="26" t="n">
        <x:v>0.0149279536499031</x:v>
      </x:c>
      <x:c r="T91" s="41" t="b">
        <x:v>1</x:v>
      </x:c>
    </x:row>
    <x:row r="92">
      <x:c r="A92" s="25" t="str">
        <x:v>MEAT-PCKGD</x:v>
      </x:c>
      <x:c r="B92" s="26" t="str">
        <x:v>MEAT - MISC</x:v>
      </x:c>
      <x:c r="C92" s="39" t="b">
        <x:v>1</x:v>
      </x:c>
      <x:c r="D92" s="39" t="b">
        <x:v>1</x:v>
      </x:c>
      <x:c r="E92" s="39" t="b">
        <x:v>1</x:v>
      </x:c>
      <x:c r="F92" s="26" t="n">
        <x:v>82</x:v>
      </x:c>
      <x:c r="G92" s="26" t="n">
        <x:v>5690</x:v>
      </x:c>
      <x:c r="H92" s="26" t="n">
        <x:v>39482</x:v>
      </x:c>
      <x:c r="I92" s="26" t="n">
        <x:v>0.0062563339653122</x:v>
      </x:c>
      <x:c r="J92" s="26" t="n">
        <x:v>0.05083178</x:v>
      </x:c>
      <x:c r="K92" s="26" t="n">
        <x:v>0.0130815752534848</x:v>
      </x:c>
      <x:c r="L92" s="26" t="n">
        <x:v>0.0080883854274042</x:v>
      </x:c>
      <x:c r="M92" s="26" t="n">
        <x:v>63</x:v>
      </x:c>
      <x:c r="N92" s="26" t="n">
        <x:v>4398</x:v>
      </x:c>
      <x:c r="O92" s="26" t="n">
        <x:v>12777</x:v>
      </x:c>
      <x:c r="P92" s="26" t="n">
        <x:v>0.0051709110201606</x:v>
      </x:c>
      <x:c r="Q92" s="26" t="n">
        <x:v>0.060783006</x:v>
      </x:c>
      <x:c r="R92" s="26" t="n">
        <x:v>0.0113832405783292</x:v>
      </x:c>
      <x:c r="S92" s="26" t="n">
        <x:v>0.0071467369727942</x:v>
      </x:c>
      <x:c r="T92" s="41" t="b">
        <x:v>1</x:v>
      </x:c>
    </x:row>
    <x:row r="93">
      <x:c r="A93" s="25" t="str">
        <x:v>MEAT-PCKGD</x:v>
      </x:c>
      <x:c r="B93" s="26" t="str">
        <x:v>MISCELLANEOUS</x:v>
      </x:c>
      <x:c r="C93" s="39" t="b">
        <x:v>1</x:v>
      </x:c>
      <x:c r="D93" s="39" t="b">
        <x:v>1</x:v>
      </x:c>
      <x:c r="E93" s="39" t="b">
        <x:v>1</x:v>
      </x:c>
      <x:c r="F93" s="26" t="n">
        <x:v>25</x:v>
      </x:c>
      <x:c r="G93" s="26" t="n">
        <x:v>515</x:v>
      </x:c>
      <x:c r="H93" s="26" t="n">
        <x:v>1945</x:v>
      </x:c>
      <x:c r="I93" s="26" t="n">
        <x:v>0.0104576976421636</x:v>
      </x:c>
      <x:c r="J93" s="26" t="n">
        <x:v>0.01656551</x:v>
      </x:c>
      <x:c r="K93" s="26" t="n">
        <x:v>0.0189921405455386</x:v>
      </x:c>
      <x:c r="L93" s="26" t="n">
        <x:v>0.0147480351363846</x:v>
      </x:c>
      <x:c r="M93" s="26" t="n">
        <x:v>5</x:v>
      </x:c>
      <x:c r="N93" s="26" t="n">
        <x:v>285</x:v>
      </x:c>
      <x:c r="O93" s="26" t="n">
        <x:v>340</x:v>
      </x:c>
      <x:c r="P93" s="26" t="n">
        <x:v>0.019298245614035</x:v>
      </x:c>
      <x:c r="Q93" s="26" t="n">
        <x:v>0.023789473</x:v>
      </x:c>
      <x:c r="R93" s="26" t="n">
        <x:v>0.0245614035087719</x:v>
      </x:c>
      <x:c r="S93" s="26" t="n">
        <x:v>0.0385964912280701</x:v>
      </x:c>
      <x:c r="T93" s="41" t="b">
        <x:v>1</x:v>
      </x:c>
    </x:row>
    <x:row r="94">
      <x:c r="A94" s="25" t="str">
        <x:v>PASTRY</x:v>
      </x:c>
      <x:c r="B94" s="26" t="str">
        <x:v>BREAKFAST SWEETS</x:v>
      </x:c>
      <x:c r="C94" s="39" t="b">
        <x:v>1</x:v>
      </x:c>
      <x:c r="D94" s="39" t="b">
        <x:v>1</x:v>
      </x:c>
      <x:c r="E94" s="39" t="b">
        <x:v>1</x:v>
      </x:c>
      <x:c r="F94" s="26" t="n">
        <x:v>47</x:v>
      </x:c>
      <x:c r="G94" s="26" t="n">
        <x:v>426</x:v>
      </x:c>
      <x:c r="H94" s="26" t="n">
        <x:v>1081</x:v>
      </x:c>
      <x:c r="I94" s="26" t="n">
        <x:v>0.0169839381521237</x:v>
      </x:c>
      <x:c r="J94" s="26" t="n">
        <x:v>0.058098745</x:v>
      </x:c>
      <x:c r="K94" s="26" t="n">
        <x:v>0.0428356927217739</x:v>
      </x:c>
      <x:c r="L94" s="26" t="n">
        <x:v>0.028525409200637</x:v>
      </x:c>
      <x:c r="M94" s="26" t="n">
        <x:v>20</x:v>
      </x:c>
      <x:c r="N94" s="26" t="n">
        <x:v>370</x:v>
      </x:c>
      <x:c r="O94" s="26" t="n">
        <x:v>747</x:v>
      </x:c>
      <x:c r="P94" s="26" t="n">
        <x:v>0.0273198198198198</x:v>
      </x:c>
      <x:c r="Q94" s="26" t="n">
        <x:v>0.051743694</x:v>
      </x:c>
      <x:c r="R94" s="26" t="n">
        <x:v>0.04009009009009</x:v>
      </x:c>
      <x:c r="S94" s="26" t="n">
        <x:v>0.0370045045045045</x:v>
      </x:c>
      <x:c r="T94" s="41" t="b">
        <x:v>1</x:v>
      </x:c>
    </x:row>
    <x:row r="95">
      <x:c r="A95" s="25" t="str">
        <x:v>PASTRY</x:v>
      </x:c>
      <x:c r="B95" s="26" t="str">
        <x:v>CAKES</x:v>
      </x:c>
      <x:c r="C95" s="39" t="b">
        <x:v>1</x:v>
      </x:c>
      <x:c r="D95" s="39" t="b">
        <x:v>1</x:v>
      </x:c>
      <x:c r="E95" s="39" t="b">
        <x:v>1</x:v>
      </x:c>
      <x:c r="F95" s="26" t="n">
        <x:v>66</x:v>
      </x:c>
      <x:c r="G95" s="26" t="n">
        <x:v>412</x:v>
      </x:c>
      <x:c r="H95" s="26" t="n">
        <x:v>547</x:v>
      </x:c>
      <x:c r="I95" s="26" t="n">
        <x:v>0.0042475728155339</x:v>
      </x:c>
      <x:c r="J95" s="26" t="n">
        <x:v>0.02270631</x:v>
      </x:c>
      <x:c r="K95" s="26" t="n">
        <x:v>0.0042475728155339</x:v>
      </x:c>
      <x:c r="L95" s="26" t="n">
        <x:v>0.0042475728155339</x:v>
      </x:c>
      <x:c r="M95" s="26" t="n">
        <x:v>54</x:v>
      </x:c>
      <x:c r="N95" s="26" t="n">
        <x:v>312</x:v>
      </x:c>
      <x:c r="O95" s="26" t="n">
        <x:v>357</x:v>
      </x:c>
      <x:c r="P95" s="26" t="n">
        <x:v>0.0032051282051282</x:v>
      </x:c>
      <x:c r="Q95" s="26" t="n">
        <x:v>0.051185895</x:v>
      </x:c>
      <x:c r="R95" s="26" t="n">
        <x:v>0.0032051282051282</x:v>
      </x:c>
      <x:c r="S95" s="26" t="n">
        <x:v>0.0032051282051282</x:v>
      </x:c>
      <x:c r="T95" s="41" t="b">
        <x:v>1</x:v>
      </x:c>
    </x:row>
    <x:row r="96">
      <x:c r="A96" s="25" t="str">
        <x:v>PASTRY</x:v>
      </x:c>
      <x:c r="B96" s="26" t="str">
        <x:v>PIES</x:v>
      </x:c>
      <x:c r="C96" s="39" t="b">
        <x:v>1</x:v>
      </x:c>
      <x:c r="D96" s="39" t="b">
        <x:v>1</x:v>
      </x:c>
      <x:c r="E96" s="39" t="b">
        <x:v>1</x:v>
      </x:c>
      <x:c r="F96" s="26" t="n">
        <x:v>41</x:v>
      </x:c>
      <x:c r="G96" s="26" t="n">
        <x:v>457</x:v>
      </x:c>
      <x:c r="H96" s="26" t="n">
        <x:v>1611</x:v>
      </x:c>
      <x:c r="I96" s="26" t="n">
        <x:v>0.0216999466259345</x:v>
      </x:c>
      <x:c r="J96" s="26" t="n">
        <x:v>0.13166301</x:v>
      </x:c>
      <x:c r="K96" s="26" t="n">
        <x:v>0.027231189028074</x:v>
      </x:c>
      <x:c r="L96" s="26" t="n">
        <x:v>0.0260641576641061</x:v>
      </x:c>
      <x:c r="M96" s="26" t="n">
        <x:v>34</x:v>
      </x:c>
      <x:c r="N96" s="26" t="n">
        <x:v>882</x:v>
      </x:c>
      <x:c r="O96" s="26" t="n">
        <x:v>2476</x:v>
      </x:c>
      <x:c r="P96" s="26" t="n">
        <x:v>0.0111301711641847</x:v>
      </x:c>
      <x:c r="Q96" s="26" t="n">
        <x:v>0.070553035</x:v>
      </x:c>
      <x:c r="R96" s="26" t="n">
        <x:v>0.0147335846315438</x:v>
      </x:c>
      <x:c r="S96" s="26" t="n">
        <x:v>0.0134652321727151</x:v>
      </x:c>
      <x:c r="T96" s="41" t="b">
        <x:v>1</x:v>
      </x:c>
    </x:row>
    <x:row r="97">
      <x:c r="A97" s="25" t="str">
        <x:v>PASTRY</x:v>
      </x:c>
      <x:c r="B97" s="26" t="str">
        <x:v>SWEET GOODS &amp; SNACKS</x:v>
      </x:c>
      <x:c r="C97" s="39" t="b">
        <x:v>1</x:v>
      </x:c>
      <x:c r="D97" s="39" t="b">
        <x:v>1</x:v>
      </x:c>
      <x:c r="E97" s="39" t="b">
        <x:v>1</x:v>
      </x:c>
      <x:c r="F97" s="26" t="n">
        <x:v>23</x:v>
      </x:c>
      <x:c r="G97" s="26" t="n">
        <x:v>175</x:v>
      </x:c>
      <x:c r="H97" s="26" t="n">
        <x:v>221</x:v>
      </x:c>
      <x:c r="I97" s="26" t="n">
        <x:v>0.0047619047619047</x:v>
      </x:c>
      <x:c r="J97" s="26" t="n">
        <x:v>0.030561905</x:v>
      </x:c>
      <x:c r="K97" s="26" t="n">
        <x:v>0.0104761904761904</x:v>
      </x:c>
      <x:c r="L97" s="26" t="n">
        <x:v>0.0104761904761904</x:v>
      </x:c>
      <x:c r="M97" s="26" t="n">
        <x:v>16</x:v>
      </x:c>
      <x:c r="N97" s="26" t="n">
        <x:v>207</x:v>
      </x:c>
      <x:c r="O97" s="26" t="n">
        <x:v>294</x:v>
      </x:c>
      <x:c r="P97" s="26" t="n">
        <x:v>0.0062801932367149</x:v>
      </x:c>
      <x:c r="Q97" s="26" t="n">
        <x:v>0.02541063</x:v>
      </x:c>
      <x:c r="R97" s="26" t="n">
        <x:v>0.0111111111111111</x:v>
      </x:c>
      <x:c r="S97" s="26" t="n">
        <x:v>0.0111111111111111</x:v>
      </x:c>
      <x:c r="T97" s="41" t="b">
        <x:v>1</x:v>
      </x:c>
    </x:row>
    <x:row r="98">
      <x:c r="A98" s="25" t="str">
        <x:v>PRODUCE</x:v>
      </x:c>
      <x:c r="B98" s="26" t="str">
        <x:v>BERRIES</x:v>
      </x:c>
      <x:c r="C98" s="39" t="b">
        <x:v>1</x:v>
      </x:c>
      <x:c r="D98" s="39" t="b">
        <x:v>1</x:v>
      </x:c>
      <x:c r="E98" s="39" t="b">
        <x:v>1</x:v>
      </x:c>
      <x:c r="F98" s="26" t="n">
        <x:v>38</x:v>
      </x:c>
      <x:c r="G98" s="26" t="n">
        <x:v>115</x:v>
      </x:c>
      <x:c r="H98" s="26" t="n">
        <x:v>227</x:v>
      </x:c>
      <x:c r="I98" s="26" t="n">
        <x:v>0.0057971014492753</x:v>
      </x:c>
      <x:c r="J98" s="26" t="n">
        <x:v>0.14762318</x:v>
      </x:c>
      <x:c r="K98" s="26" t="n">
        <x:v>0.0869565217391304</x:v>
      </x:c>
      <x:c r="L98" s="26" t="n">
        <x:v>0.0427536231884058</x:v>
      </x:c>
      <x:c r="M98" s="26" t="n">
        <x:v>28</x:v>
      </x:c>
      <x:c r="N98" s="26" t="n">
        <x:v>136</x:v>
      </x:c>
      <x:c r="O98" s="26" t="n">
        <x:v>178</x:v>
      </x:c>
      <x:c r="P98" s="26" t="n">
        <x:v>0.0036764705882352</x:v>
      </x:c>
      <x:c r="Q98" s="26" t="n">
        <x:v>0.19625</x:v>
      </x:c>
      <x:c r="R98" s="26" t="n">
        <x:v>0.1213235294117647</x:v>
      </x:c>
      <x:c r="S98" s="26" t="n">
        <x:v>0.0477941176470588</x:v>
      </x:c>
      <x:c r="T98" s="41" t="b">
        <x:v>1</x:v>
      </x:c>
    </x:row>
    <x:row r="99">
      <x:c r="A99" s="25" t="str">
        <x:v>PRODUCE</x:v>
      </x:c>
      <x:c r="B99" s="26" t="str">
        <x:v>SALAD MIX</x:v>
      </x:c>
      <x:c r="C99" s="39" t="b">
        <x:v>1</x:v>
      </x:c>
      <x:c r="D99" s="39" t="b">
        <x:v>1</x:v>
      </x:c>
      <x:c r="E99" s="39" t="b">
        <x:v>1</x:v>
      </x:c>
      <x:c r="F99" s="26" t="n">
        <x:v>92</x:v>
      </x:c>
      <x:c r="G99" s="26" t="n">
        <x:v>322</x:v>
      </x:c>
      <x:c r="H99" s="26" t="n">
        <x:v>564</x:v>
      </x:c>
      <x:c r="I99" s="26" t="n">
        <x:v>0.0178053830227743</x:v>
      </x:c>
      <x:c r="J99" s="26" t="n">
        <x:v>0.04407609</x:v>
      </x:c>
      <x:c r="K99" s="26" t="n">
        <x:v>0.0358954451345755</x:v>
      </x:c>
      <x:c r="L99" s="26" t="n">
        <x:v>0.0256987577639751</x:v>
      </x:c>
      <x:c r="M99" s="26" t="n">
        <x:v>54</x:v>
      </x:c>
      <x:c r="N99" s="26" t="n">
        <x:v>315</x:v>
      </x:c>
      <x:c r="O99" s="26" t="n">
        <x:v>1764</x:v>
      </x:c>
      <x:c r="P99" s="26" t="n">
        <x:v>0.005181811134192</x:v>
      </x:c>
      <x:c r="Q99" s="26" t="n">
        <x:v>0.011025883</x:v>
      </x:c>
      <x:c r="R99" s="26" t="n">
        <x:v>0.0137816328292518</x:v>
      </x:c>
      <x:c r="S99" s="26" t="n">
        <x:v>0.0103515708277613</x:v>
      </x:c>
      <x:c r="T99" s="41" t="b">
        <x:v>1</x:v>
      </x:c>
    </x:row>
    <x:row r="100">
      <x:c r="A100" s="25" t="str">
        <x:v>PRODUCE</x:v>
      </x:c>
      <x:c r="B100" s="26" t="str">
        <x:v>TOMATOES</x:v>
      </x:c>
      <x:c r="C100" s="39" t="b">
        <x:v>1</x:v>
      </x:c>
      <x:c r="D100" s="39" t="b">
        <x:v>1</x:v>
      </x:c>
      <x:c r="E100" s="39" t="b">
        <x:v>1</x:v>
      </x:c>
      <x:c r="F100" s="26" t="n">
        <x:v>15</x:v>
      </x:c>
      <x:c r="G100" s="26" t="n">
        <x:v>212</x:v>
      </x:c>
      <x:c r="H100" s="26" t="n">
        <x:v>715</x:v>
      </x:c>
      <x:c r="I100" s="26" t="n">
        <x:v>0.0108490566037735</x:v>
      </x:c>
      <x:c r="J100" s="26" t="n">
        <x:v>0.0143238995</x:v>
      </x:c>
      <x:c r="K100" s="26" t="n">
        <x:v>0.0184355345911949</x:v>
      </x:c>
      <x:c r="L100" s="26" t="n">
        <x:v>0.0139150943396226</x:v>
      </x:c>
      <x:c r="M100" s="26" t="n">
        <x:v>12</x:v>
      </x:c>
      <x:c r="N100" s="26" t="n">
        <x:v>258</x:v>
      </x:c>
      <x:c r="O100" s="26" t="n">
        <x:v>475</x:v>
      </x:c>
      <x:c r="P100" s="26" t="n">
        <x:v>0.0087209302325581</x:v>
      </x:c>
      <x:c r="Q100" s="26" t="n">
        <x:v>0.02407752</x:v>
      </x:c>
      <x:c r="R100" s="26" t="n">
        <x:v>0.0153100775193798</x:v>
      </x:c>
      <x:c r="S100" s="26" t="n">
        <x:v>0.0127260981912144</x:v>
      </x:c>
      <x:c r="T100" s="41" t="b">
        <x:v>1</x:v>
      </x:c>
    </x:row>
    <x:row r="101">
      <x:c r="A101" s="25" t="str">
        <x:v>SEAFOOD</x:v>
      </x:c>
      <x:c r="B101" s="26" t="str">
        <x:v>SEAFOOD - FROZEN</x:v>
      </x:c>
      <x:c r="C101" s="39" t="b">
        <x:v>1</x:v>
      </x:c>
      <x:c r="D101" s="39" t="b">
        <x:v>1</x:v>
      </x:c>
      <x:c r="E101" s="39" t="b">
        <x:v>1</x:v>
      </x:c>
      <x:c r="F101" s="26" t="n">
        <x:v>8</x:v>
      </x:c>
      <x:c r="G101" s="26" t="n">
        <x:v>203</x:v>
      </x:c>
      <x:c r="H101" s="26" t="n">
        <x:v>304</x:v>
      </x:c>
      <x:c r="I101" s="26" t="n">
        <x:v>0.0098522167487684</x:v>
      </x:c>
      <x:c r="J101" s="26" t="n">
        <x:v>0.18206896</x:v>
      </x:c>
      <x:c r="K101" s="26" t="n">
        <x:v>0.0197044334975369</x:v>
      </x:c>
      <x:c r="L101" s="26" t="n">
        <x:v>0.0123152709359605</x:v>
      </x:c>
      <x:c r="M101" s="26" t="n">
        <x:v>6</x:v>
      </x:c>
      <x:c r="N101" s="26" t="n">
        <x:v>56</x:v>
      </x:c>
      <x:c r="O101" s="26" t="n">
        <x:v>56</x:v>
      </x:c>
      <x:c r="P101" s="26" t="n">
        <x:v>0.0178571428571428</x:v>
      </x:c>
      <x:c r="Q101" s="26" t="n">
        <x:v>0.08910714</x:v>
      </x:c>
      <x:c r="R101" s="26" t="n">
        <x:v>0.0178571428571428</x:v>
      </x:c>
      <x:c r="S101" s="26" t="n">
        <x:v>0.0178571428571428</x:v>
      </x:c>
      <x:c r="T101" s="41" t="b">
        <x:v>1</x:v>
      </x:c>
    </x:row>
    <x:row r="102">
      <x:c r="A102" s="25" t="str">
        <x:v>SEAFOOD-PCKGD</x:v>
      </x:c>
      <x:c r="B102" s="26" t="str">
        <x:v>SEAFOOD - FROZEN</x:v>
      </x:c>
      <x:c r="C102" s="39" t="b">
        <x:v>1</x:v>
      </x:c>
      <x:c r="D102" s="39" t="b">
        <x:v>1</x:v>
      </x:c>
      <x:c r="E102" s="39" t="b">
        <x:v>1</x:v>
      </x:c>
      <x:c r="F102" s="26" t="n">
        <x:v>229</x:v>
      </x:c>
      <x:c r="G102" s="26" t="n">
        <x:v>10217</x:v>
      </x:c>
      <x:c r="H102" s="26" t="n">
        <x:v>35902</x:v>
      </x:c>
      <x:c r="I102" s="26" t="n">
        <x:v>0.0061103617595021</x:v>
      </x:c>
      <x:c r="J102" s="26" t="n">
        <x:v>0.04087798</x:v>
      </x:c>
      <x:c r="K102" s="26" t="n">
        <x:v>0.0117449739900316</x:v>
      </x:c>
      <x:c r="L102" s="26" t="n">
        <x:v>0.0069635943855858</x:v>
      </x:c>
      <x:c r="M102" s="26" t="n">
        <x:v>197</x:v>
      </x:c>
      <x:c r="N102" s="26" t="n">
        <x:v>9145</x:v>
      </x:c>
      <x:c r="O102" s="26" t="n">
        <x:v>19632</x:v>
      </x:c>
      <x:c r="P102" s="26" t="n">
        <x:v>0.0064802737205689</x:v>
      </x:c>
      <x:c r="Q102" s="26" t="n">
        <x:v>0.042622503</x:v>
      </x:c>
      <x:c r="R102" s="26" t="n">
        <x:v>0.0104683186626871</x:v>
      </x:c>
      <x:c r="S102" s="26" t="n">
        <x:v>0.0067840219740165</x:v>
      </x:c>
      <x:c r="T102" s="41" t="b">
        <x:v>1</x:v>
      </x:c>
    </x:row>
    <x:row r="103">
      <x:c r="A103" s="28" t="str">
        <x:v>TRAVEL &amp; LEISUR</x:v>
      </x:c>
      <x:c r="B103" s="29" t="str">
        <x:v>APPLES</x:v>
      </x:c>
      <x:c r="C103" s="40" t="b">
        <x:v>1</x:v>
      </x:c>
      <x:c r="D103" s="40" t="b">
        <x:v>1</x:v>
      </x:c>
      <x:c r="E103" s="40" t="b">
        <x:v>1</x:v>
      </x:c>
      <x:c r="F103" s="29" t="n">
        <x:v>5</x:v>
      </x:c>
      <x:c r="G103" s="29" t="n">
        <x:v>244</x:v>
      </x:c>
      <x:c r="H103" s="29" t="n">
        <x:v>456</x:v>
      </x:c>
      <x:c r="I103" s="29" t="n">
        <x:v>0.0178961748633879</x:v>
      </x:c>
      <x:c r="J103" s="29" t="n">
        <x:v>0.053039618</x:v>
      </x:c>
      <x:c r="K103" s="29" t="n">
        <x:v>0.0342896174863388</x:v>
      </x:c>
      <x:c r="L103" s="29" t="n">
        <x:v>0.0260928961748633</x:v>
      </x:c>
      <x:c r="M103" s="29" t="n">
        <x:v>5</x:v>
      </x:c>
      <x:c r="N103" s="29" t="n">
        <x:v>228</x:v>
      </x:c>
      <x:c r="O103" s="29" t="n">
        <x:v>297</x:v>
      </x:c>
      <x:c r="P103" s="29" t="n">
        <x:v>0.0029239766081871</x:v>
      </x:c>
      <x:c r="Q103" s="29" t="n">
        <x:v>0.005847952</x:v>
      </x:c>
      <x:c r="R103" s="29" t="n">
        <x:v>0.0029239766081871</x:v>
      </x:c>
      <x:c r="S103" s="29" t="n">
        <x:v>0.0073099415204678</x:v>
      </x:c>
      <x:c r="T103" s="42" t="b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34" hidden="0" customWidth="1"/>
    <x:col min="5" max="5" width="34" hidden="0" customWidth="1"/>
    <x:col min="6" max="6" width="18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</x:cols>
  <x:sheetData>
    <x:row r="1">
      <x:c r="A1" s="22" t="str">
        <x:v>PRODUCT_ID</x:v>
      </x:c>
      <x:c r="B1" s="23" t="str">
        <x:v>DEPARTMENT</x:v>
      </x:c>
      <x:c r="C1" s="23" t="str">
        <x:v>BRAND</x:v>
      </x:c>
      <x:c r="D1" s="23" t="str">
        <x:v>COMMODITY_DESC</x:v>
      </x:c>
      <x:c r="E1" s="23" t="str">
        <x:v>SUB_COMMODITY_DESC</x:v>
      </x:c>
      <x:c r="F1" s="23" t="str">
        <x:v>CURR_SIZE_OF_PRODUCT</x:v>
      </x:c>
      <x:c r="G1" s="23" t="str">
        <x:v>product_stores_vs_display_only</x:v>
      </x:c>
      <x:c r="H1" s="23" t="str">
        <x:v>matched_pairs_vs_display_only</x:v>
      </x:c>
      <x:c r="I1" s="23" t="str">
        <x:v>sales_incidence_diff_vs_display_only</x:v>
      </x:c>
      <x:c r="J1" s="23" t="str">
        <x:v>revenue_diff_vs_display_only</x:v>
      </x:c>
      <x:c r="K1" s="23" t="str">
        <x:v>units_diff_vs_display_only</x:v>
      </x:c>
      <x:c r="L1" s="23" t="str">
        <x:v>baskets_diff_vs_display_only</x:v>
      </x:c>
      <x:c r="M1" s="23" t="str">
        <x:v>product_stores_vs_mailer_only</x:v>
      </x:c>
      <x:c r="N1" s="23" t="str">
        <x:v>matched_pairs_vs_mailer_only</x:v>
      </x:c>
      <x:c r="O1" s="23" t="str">
        <x:v>sales_incidence_diff_vs_mailer_only</x:v>
      </x:c>
      <x:c r="P1" s="23" t="str">
        <x:v>revenue_diff_vs_mailer_only</x:v>
      </x:c>
      <x:c r="Q1" s="23" t="str">
        <x:v>units_diff_vs_mailer_only</x:v>
      </x:c>
      <x:c r="R1" s="23" t="str">
        <x:v>baskets_diff_vs_mailer_only</x:v>
      </x:c>
      <x:c r="S1" s="23" t="str">
        <x:v>conservative_sales_effect</x:v>
      </x:c>
      <x:c r="T1" s="23" t="str">
        <x:v>conservative_revenue_effect</x:v>
      </x:c>
      <x:c r="U1" s="23" t="str">
        <x:v>coverage_matched_pairs</x:v>
      </x:c>
      <x:c r="V1" s="23" t="str">
        <x:v>product_score</x:v>
      </x:c>
      <x:c r="W1" s="24" t="str">
        <x:v>rank_within_category</x:v>
      </x:c>
    </x:row>
    <x:row r="2">
      <x:c r="A2" s="25" t="str">
        <x:v>5569230</x:v>
      </x:c>
      <x:c r="B2" s="26" t="str">
        <x:v>GROCERY</x:v>
      </x:c>
      <x:c r="C2" s="26" t="str">
        <x:v>National</x:v>
      </x:c>
      <x:c r="D2" s="26" t="str">
        <x:v>SOFT DRINKS</x:v>
      </x:c>
      <x:c r="E2" s="26" t="str">
        <x:v>SOFT DRINKS 12/18&amp;15PK CAN CAR</x:v>
      </x:c>
      <x:c r="F2" s="26" t="str">
        <x:v>12 OZ</x:v>
      </x:c>
      <x:c r="G2" s="26" t="n">
        <x:v>92</x:v>
      </x:c>
      <x:c r="H2" s="26" t="n">
        <x:v>950</x:v>
      </x:c>
      <x:c r="I2" s="26" t="n">
        <x:v>0.271033259664438</x:v>
      </x:c>
      <x:c r="J2" s="26" t="n">
        <x:v>2.4125514</x:v>
      </x:c>
      <x:c r="K2" s="26" t="n">
        <x:v>1.056648533009284</x:v>
      </x:c>
      <x:c r="L2" s="26" t="n">
        <x:v>0.4786476362368356</x:v>
      </x:c>
      <x:c r="M2" s="26" t="n">
        <x:v>111</x:v>
      </x:c>
      <x:c r="N2" s="26" t="n">
        <x:v>1589</x:v>
      </x:c>
      <x:c r="O2" s="26" t="n">
        <x:v>0.1199349136423439</x:v>
      </x:c>
      <x:c r="P2" s="26" t="n">
        <x:v>1.6255648</x:v>
      </x:c>
      <x:c r="Q2" s="26" t="n">
        <x:v>0.708488722281292</x:v>
      </x:c>
      <x:c r="R2" s="26" t="n">
        <x:v>0.3166022924614256</x:v>
      </x:c>
      <x:c r="S2" s="33" t="n">
        <x:v>0.1199349136423439</x:v>
      </x:c>
      <x:c r="T2" s="33" t="n">
        <x:v>1.6255648</x:v>
      </x:c>
      <x:c r="U2" s="26" t="n">
        <x:v>950</x:v>
      </x:c>
      <x:c r="V2" s="37" t="n">
        <x:v>0.9906976744186047</x:v>
      </x:c>
      <x:c r="W2" s="43" t="n">
        <x:v>1</x:v>
      </x:c>
    </x:row>
    <x:row r="3">
      <x:c r="A3" s="25" t="str">
        <x:v>8090537</x:v>
      </x:c>
      <x:c r="B3" s="26" t="str">
        <x:v>GROCERY</x:v>
      </x:c>
      <x:c r="C3" s="26" t="str">
        <x:v>National</x:v>
      </x:c>
      <x:c r="D3" s="26" t="str">
        <x:v>SOFT DRINKS</x:v>
      </x:c>
      <x:c r="E3" s="26" t="str">
        <x:v>SOFT DRINKS 12/18&amp;15PK CAN CAR</x:v>
      </x:c>
      <x:c r="F3" s="26" t="str">
        <x:v>12 OZ</x:v>
      </x:c>
      <x:c r="G3" s="26" t="n">
        <x:v>72</x:v>
      </x:c>
      <x:c r="H3" s="26" t="n">
        <x:v>544</x:v>
      </x:c>
      <x:c r="I3" s="26" t="n">
        <x:v>0.2100224703550727</x:v>
      </x:c>
      <x:c r="J3" s="26" t="n">
        <x:v>2.3009908</x:v>
      </x:c>
      <x:c r="K3" s="26" t="n">
        <x:v>0.9681677537050344</x:v>
      </x:c>
      <x:c r="L3" s="26" t="n">
        <x:v>0.4110660896662358</x:v>
      </x:c>
      <x:c r="M3" s="26" t="n">
        <x:v>87</x:v>
      </x:c>
      <x:c r="N3" s="26" t="n">
        <x:v>1154</x:v>
      </x:c>
      <x:c r="O3" s="26" t="n">
        <x:v>0.1345186718038218</x:v>
      </x:c>
      <x:c r="P3" s="26" t="n">
        <x:v>1.2447281</x:v>
      </x:c>
      <x:c r="Q3" s="26" t="n">
        <x:v>0.4909435976800128</x:v>
      </x:c>
      <x:c r="R3" s="26" t="n">
        <x:v>0.2502612496100272</x:v>
      </x:c>
      <x:c r="S3" s="33" t="n">
        <x:v>0.1345186718038218</x:v>
      </x:c>
      <x:c r="T3" s="33" t="n">
        <x:v>1.2447281</x:v>
      </x:c>
      <x:c r="U3" s="26" t="n">
        <x:v>544</x:v>
      </x:c>
      <x:c r="V3" s="37" t="n">
        <x:v>0.9697674418604652</x:v>
      </x:c>
      <x:c r="W3" s="43" t="n">
        <x:v>2</x:v>
      </x:c>
    </x:row>
    <x:row r="4">
      <x:c r="A4" s="25" t="str">
        <x:v>5569471</x:v>
      </x:c>
      <x:c r="B4" s="26" t="str">
        <x:v>GROCERY</x:v>
      </x:c>
      <x:c r="C4" s="26" t="str">
        <x:v>National</x:v>
      </x:c>
      <x:c r="D4" s="26" t="str">
        <x:v>SOFT DRINKS</x:v>
      </x:c>
      <x:c r="E4" s="26" t="str">
        <x:v>SOFT DRINKS 12/18&amp;15PK CAN CAR</x:v>
      </x:c>
      <x:c r="F4" s="26" t="str">
        <x:v>12 OZ</x:v>
      </x:c>
      <x:c r="G4" s="26" t="n">
        <x:v>79</x:v>
      </x:c>
      <x:c r="H4" s="26" t="n">
        <x:v>629</x:v>
      </x:c>
      <x:c r="I4" s="26" t="n">
        <x:v>0.1503301641511177</x:v>
      </x:c>
      <x:c r="J4" s="26" t="n">
        <x:v>1.2624815</x:v>
      </x:c>
      <x:c r="K4" s="26" t="n">
        <x:v>0.5410842683016324</x:v>
      </x:c>
      <x:c r="L4" s="26" t="n">
        <x:v>0.2038635268693983</x:v>
      </x:c>
      <x:c r="M4" s="26" t="n">
        <x:v>112</x:v>
      </x:c>
      <x:c r="N4" s="26" t="n">
        <x:v>1589</x:v>
      </x:c>
      <x:c r="O4" s="26" t="n">
        <x:v>0.0794671630460551</x:v>
      </x:c>
      <x:c r="P4" s="26" t="n">
        <x:v>1.0567529</x:v>
      </x:c>
      <x:c r="Q4" s="26" t="n">
        <x:v>0.4117350808330325</x:v>
      </x:c>
      <x:c r="R4" s="26" t="n">
        <x:v>0.1189689662900493</x:v>
      </x:c>
      <x:c r="S4" s="33" t="n">
        <x:v>0.0794671630460551</x:v>
      </x:c>
      <x:c r="T4" s="33" t="n">
        <x:v>1.0567529</x:v>
      </x:c>
      <x:c r="U4" s="26" t="n">
        <x:v>629</x:v>
      </x:c>
      <x:c r="V4" s="37" t="n">
        <x:v>0.9255813953488373</x:v>
      </x:c>
      <x:c r="W4" s="43" t="n">
        <x:v>3</x:v>
      </x:c>
    </x:row>
    <x:row r="5">
      <x:c r="A5" s="25" t="str">
        <x:v>8090521</x:v>
      </x:c>
      <x:c r="B5" s="26" t="str">
        <x:v>GROCERY</x:v>
      </x:c>
      <x:c r="C5" s="26" t="str">
        <x:v>National</x:v>
      </x:c>
      <x:c r="D5" s="26" t="str">
        <x:v>SOFT DRINKS</x:v>
      </x:c>
      <x:c r="E5" s="26" t="str">
        <x:v>SOFT DRINKS 12/18&amp;15PK CAN CAR</x:v>
      </x:c>
      <x:c r="F5" s="26" t="str">
        <x:v>12 OZ</x:v>
      </x:c>
      <x:c r="G5" s="26" t="n">
        <x:v>70</x:v>
      </x:c>
      <x:c r="H5" s="26" t="n">
        <x:v>510</x:v>
      </x:c>
      <x:c r="I5" s="26" t="n">
        <x:v>0.2238872288947477</x:v>
      </x:c>
      <x:c r="J5" s="26" t="n">
        <x:v>1.5780585</x:v>
      </x:c>
      <x:c r="K5" s="26" t="n">
        <x:v>0.712325351340389</x:v>
      </x:c>
      <x:c r="L5" s="26" t="n">
        <x:v>0.3783286247308804</x:v>
      </x:c>
      <x:c r="M5" s="26" t="n">
        <x:v>87</x:v>
      </x:c>
      <x:c r="N5" s="26" t="n">
        <x:v>1122</x:v>
      </x:c>
      <x:c r="O5" s="26" t="n">
        <x:v>0.0989846664195441</x:v>
      </x:c>
      <x:c r="P5" s="26" t="n">
        <x:v>0.7725025</x:v>
      </x:c>
      <x:c r="Q5" s="26" t="n">
        <x:v>0.3425999729979125</x:v>
      </x:c>
      <x:c r="R5" s="26" t="n">
        <x:v>0.1914854499793647</x:v>
      </x:c>
      <x:c r="S5" s="33" t="n">
        <x:v>0.0989846664195441</x:v>
      </x:c>
      <x:c r="T5" s="33" t="n">
        <x:v>0.7725025</x:v>
      </x:c>
      <x:c r="U5" s="26" t="n">
        <x:v>510</x:v>
      </x:c>
      <x:c r="V5" s="37" t="n">
        <x:v>0.9255813953488372</x:v>
      </x:c>
      <x:c r="W5" s="43" t="n">
        <x:v>4</x:v>
      </x:c>
    </x:row>
    <x:row r="6">
      <x:c r="A6" s="25" t="str">
        <x:v>5569845</x:v>
      </x:c>
      <x:c r="B6" s="26" t="str">
        <x:v>GROCERY</x:v>
      </x:c>
      <x:c r="C6" s="26" t="str">
        <x:v>National</x:v>
      </x:c>
      <x:c r="D6" s="26" t="str">
        <x:v>SOFT DRINKS</x:v>
      </x:c>
      <x:c r="E6" s="26" t="str">
        <x:v>SOFT DRINKS 12/18&amp;15PK CAN CAR</x:v>
      </x:c>
      <x:c r="F6" s="26" t="str">
        <x:v>12 OZ</x:v>
      </x:c>
      <x:c r="G6" s="26" t="n">
        <x:v>80</x:v>
      </x:c>
      <x:c r="H6" s="26" t="n">
        <x:v>628</x:v>
      </x:c>
      <x:c r="I6" s="26" t="n">
        <x:v>0.1235420913499691</x:v>
      </x:c>
      <x:c r="J6" s="26" t="n">
        <x:v>0.48092085</x:v>
      </x:c>
      <x:c r="K6" s="26" t="n">
        <x:v>0.2119885087376581</x:v>
      </x:c>
      <x:c r="L6" s="26" t="n">
        <x:v>0.151853580208333</x:v>
      </x:c>
      <x:c r="M6" s="26" t="n">
        <x:v>111</x:v>
      </x:c>
      <x:c r="N6" s="26" t="n">
        <x:v>1636</x:v>
      </x:c>
      <x:c r="O6" s="26" t="n">
        <x:v>0.0954444389815906</x:v>
      </x:c>
      <x:c r="P6" s="26" t="n">
        <x:v>0.57516074</x:v>
      </x:c>
      <x:c r="Q6" s="26" t="n">
        <x:v>0.2348856217277269</x:v>
      </x:c>
      <x:c r="R6" s="26" t="n">
        <x:v>0.1274713998785206</x:v>
      </x:c>
      <x:c r="S6" s="33" t="n">
        <x:v>0.0954444389815906</x:v>
      </x:c>
      <x:c r="T6" s="33" t="n">
        <x:v>0.48092085</x:v>
      </x:c>
      <x:c r="U6" s="26" t="n">
        <x:v>628</x:v>
      </x:c>
      <x:c r="V6" s="37" t="n">
        <x:v>0.913953488372093</x:v>
      </x:c>
      <x:c r="W6" s="43" t="n">
        <x:v>5</x:v>
      </x:c>
    </x:row>
    <x:row r="7">
      <x:c r="A7" s="25" t="str">
        <x:v>8090509</x:v>
      </x:c>
      <x:c r="B7" s="26" t="str">
        <x:v>GROCERY</x:v>
      </x:c>
      <x:c r="C7" s="26" t="str">
        <x:v>National</x:v>
      </x:c>
      <x:c r="D7" s="26" t="str">
        <x:v>SOFT DRINKS</x:v>
      </x:c>
      <x:c r="E7" s="26" t="str">
        <x:v>SOFT DRINKS 12/18&amp;15PK CAN CAR</x:v>
      </x:c>
      <x:c r="F7" s="26" t="str">
        <x:v>12 OZ</x:v>
      </x:c>
      <x:c r="G7" s="26" t="n">
        <x:v>86</x:v>
      </x:c>
      <x:c r="H7" s="26" t="n">
        <x:v>520</x:v>
      </x:c>
      <x:c r="I7" s="26" t="n">
        <x:v>0.077109933120535</x:v>
      </x:c>
      <x:c r="J7" s="26" t="n">
        <x:v>0.46060264</x:v>
      </x:c>
      <x:c r="K7" s="26" t="n">
        <x:v>0.1916217455974638</x:v>
      </x:c>
      <x:c r="L7" s="26" t="n">
        <x:v>0.1036510922198336</x:v>
      </x:c>
      <x:c r="M7" s="26" t="n">
        <x:v>85</x:v>
      </x:c>
      <x:c r="N7" s="26" t="n">
        <x:v>397</x:v>
      </x:c>
      <x:c r="O7" s="26" t="n">
        <x:v>0.1212745098039215</x:v>
      </x:c>
      <x:c r="P7" s="26" t="n">
        <x:v>0.54680645</x:v>
      </x:c>
      <x:c r="Q7" s="26" t="n">
        <x:v>0.2367647058823529</x:v>
      </x:c>
      <x:c r="R7" s="26" t="n">
        <x:v>0.1587675070028011</x:v>
      </x:c>
      <x:c r="S7" s="33" t="n">
        <x:v>0.077109933120535</x:v>
      </x:c>
      <x:c r="T7" s="33" t="n">
        <x:v>0.46060264</x:v>
      </x:c>
      <x:c r="U7" s="26" t="n">
        <x:v>397</x:v>
      </x:c>
      <x:c r="V7" s="37" t="n">
        <x:v>0.8651162790697675</x:v>
      </x:c>
      <x:c r="W7" s="43" t="n">
        <x:v>6</x:v>
      </x:c>
    </x:row>
    <x:row r="8">
      <x:c r="A8" s="25" t="str">
        <x:v>8090532</x:v>
      </x:c>
      <x:c r="B8" s="26" t="str">
        <x:v>GROCERY</x:v>
      </x:c>
      <x:c r="C8" s="26" t="str">
        <x:v>National</x:v>
      </x:c>
      <x:c r="D8" s="26" t="str">
        <x:v>SOFT DRINKS</x:v>
      </x:c>
      <x:c r="E8" s="26" t="str">
        <x:v>SOFT DRINKS 12/18&amp;15PK CAN CAR</x:v>
      </x:c>
      <x:c r="F8" s="26" t="str">
        <x:v>12 OZ</x:v>
      </x:c>
      <x:c r="G8" s="26" t="n">
        <x:v>68</x:v>
      </x:c>
      <x:c r="H8" s="26" t="n">
        <x:v>467</x:v>
      </x:c>
      <x:c r="I8" s="26" t="n">
        <x:v>0.1240233008305763</x:v>
      </x:c>
      <x:c r="J8" s="26" t="n">
        <x:v>0.70984626</x:v>
      </x:c>
      <x:c r="K8" s="26" t="n">
        <x:v>0.3240335395598553</x:v>
      </x:c>
      <x:c r="L8" s="26" t="n">
        <x:v>0.1523995406038749</x:v>
      </x:c>
      <x:c r="M8" s="26" t="n">
        <x:v>87</x:v>
      </x:c>
      <x:c r="N8" s="26" t="n">
        <x:v>1120</x:v>
      </x:c>
      <x:c r="O8" s="26" t="n">
        <x:v>0.0670879055900941</x:v>
      </x:c>
      <x:c r="P8" s="26" t="n">
        <x:v>0.38765007</x:v>
      </x:c>
      <x:c r="Q8" s="26" t="n">
        <x:v>0.1554635913355354</x:v>
      </x:c>
      <x:c r="R8" s="26" t="n">
        <x:v>0.0980608999318297</x:v>
      </x:c>
      <x:c r="S8" s="33" t="n">
        <x:v>0.0670879055900941</x:v>
      </x:c>
      <x:c r="T8" s="33" t="n">
        <x:v>0.38765007</x:v>
      </x:c>
      <x:c r="U8" s="26" t="n">
        <x:v>467</x:v>
      </x:c>
      <x:c r="V8" s="37" t="n">
        <x:v>0.8511627906976745</x:v>
      </x:c>
      <x:c r="W8" s="43" t="n">
        <x:v>7</x:v>
      </x:c>
    </x:row>
    <x:row r="9">
      <x:c r="A9" s="25" t="str">
        <x:v>926905</x:v>
      </x:c>
      <x:c r="B9" s="26" t="str">
        <x:v>GROCERY</x:v>
      </x:c>
      <x:c r="C9" s="26" t="str">
        <x:v>National</x:v>
      </x:c>
      <x:c r="D9" s="26" t="str">
        <x:v>SOFT DRINKS</x:v>
      </x:c>
      <x:c r="E9" s="26" t="str">
        <x:v>SOFT DRINKS 12/18&amp;15PK CAN CAR</x:v>
      </x:c>
      <x:c r="F9" s="26" t="str">
        <x:v>12 OZ</x:v>
      </x:c>
      <x:c r="G9" s="26" t="n">
        <x:v>18</x:v>
      </x:c>
      <x:c r="H9" s="26" t="n">
        <x:v>67</x:v>
      </x:c>
      <x:c r="I9" s="26" t="n">
        <x:v>0.1393939393939393</x:v>
      </x:c>
      <x:c r="J9" s="26" t="n">
        <x:v>1.0690295</x:v>
      </x:c>
      <x:c r="K9" s="26" t="n">
        <x:v>0.4695286195286195</x:v>
      </x:c>
      <x:c r="L9" s="26" t="n">
        <x:v>0.2734848484848485</x:v>
      </x:c>
      <x:c r="M9" s="26" t="n">
        <x:v>26</x:v>
      </x:c>
      <x:c r="N9" s="26" t="n">
        <x:v>314</x:v>
      </x:c>
      <x:c r="O9" s="26" t="n">
        <x:v>0.1293113748996102</x:v>
      </x:c>
      <x:c r="P9" s="26" t="n">
        <x:v>1.2388713</x:v>
      </x:c>
      <x:c r="Q9" s="26" t="n">
        <x:v>0.4891954858866624</x:v>
      </x:c>
      <x:c r="R9" s="26" t="n">
        <x:v>0.2620819131848543</x:v>
      </x:c>
      <x:c r="S9" s="33" t="n">
        <x:v>0.1293113748996102</x:v>
      </x:c>
      <x:c r="T9" s="33" t="n">
        <x:v>1.0690295</x:v>
      </x:c>
      <x:c r="U9" s="26" t="n">
        <x:v>67</x:v>
      </x:c>
      <x:c r="V9" s="37" t="n">
        <x:v>0.8488372093023255</x:v>
      </x:c>
      <x:c r="W9" s="43" t="n">
        <x:v>8</x:v>
      </x:c>
    </x:row>
    <x:row r="10">
      <x:c r="A10" s="25" t="str">
        <x:v>5569374</x:v>
      </x:c>
      <x:c r="B10" s="26" t="str">
        <x:v>GROCERY</x:v>
      </x:c>
      <x:c r="C10" s="26" t="str">
        <x:v>National</x:v>
      </x:c>
      <x:c r="D10" s="26" t="str">
        <x:v>SOFT DRINKS</x:v>
      </x:c>
      <x:c r="E10" s="26" t="str">
        <x:v>SOFT DRINKS 12/18&amp;15PK CAN CAR</x:v>
      </x:c>
      <x:c r="F10" s="26" t="str">
        <x:v>12 OZ</x:v>
      </x:c>
      <x:c r="G10" s="26" t="n">
        <x:v>73</x:v>
      </x:c>
      <x:c r="H10" s="26" t="n">
        <x:v>549</x:v>
      </x:c>
      <x:c r="I10" s="26" t="n">
        <x:v>0.1361612885535196</x:v>
      </x:c>
      <x:c r="J10" s="26" t="n">
        <x:v>0.79337</x:v>
      </x:c>
      <x:c r="K10" s="26" t="n">
        <x:v>0.325496053834989</x:v>
      </x:c>
      <x:c r="L10" s="26" t="n">
        <x:v>0.1522808443549136</x:v>
      </x:c>
      <x:c r="M10" s="26" t="n">
        <x:v>109</x:v>
      </x:c>
      <x:c r="N10" s="26" t="n">
        <x:v>1462</x:v>
      </x:c>
      <x:c r="O10" s="26" t="n">
        <x:v>0.0583965537323534</x:v>
      </x:c>
      <x:c r="P10" s="26" t="n">
        <x:v>0.35971808</x:v>
      </x:c>
      <x:c r="Q10" s="26" t="n">
        <x:v>0.1550655149488478</x:v>
      </x:c>
      <x:c r="R10" s="26" t="n">
        <x:v>0.0755420955743334</x:v>
      </x:c>
      <x:c r="S10" s="33" t="n">
        <x:v>0.0583965537323534</x:v>
      </x:c>
      <x:c r="T10" s="33" t="n">
        <x:v>0.35971808</x:v>
      </x:c>
      <x:c r="U10" s="26" t="n">
        <x:v>549</x:v>
      </x:c>
      <x:c r="V10" s="37" t="n">
        <x:v>0.8279069767441861</x:v>
      </x:c>
      <x:c r="W10" s="43" t="n">
        <x:v>9</x:v>
      </x:c>
    </x:row>
    <x:row r="11">
      <x:c r="A11" s="25" t="str">
        <x:v>844165</x:v>
      </x:c>
      <x:c r="B11" s="26" t="str">
        <x:v>GROCERY</x:v>
      </x:c>
      <x:c r="C11" s="26" t="str">
        <x:v>National</x:v>
      </x:c>
      <x:c r="D11" s="26" t="str">
        <x:v>SOFT DRINKS</x:v>
      </x:c>
      <x:c r="E11" s="26" t="str">
        <x:v>SFT DRNK 2 LITER BTL CARB INCL</x:v>
      </x:c>
      <x:c r="F11" s="26" t="str">
        <x:v>2 LTR</x:v>
      </x:c>
      <x:c r="G11" s="26" t="n">
        <x:v>54</x:v>
      </x:c>
      <x:c r="H11" s="26" t="n">
        <x:v>225</x:v>
      </x:c>
      <x:c r="I11" s="26" t="n">
        <x:v>0.1031091336646892</x:v>
      </x:c>
      <x:c r="J11" s="26" t="n">
        <x:v>0.32687765</x:v>
      </x:c>
      <x:c r="K11" s="26" t="n">
        <x:v>0.4916305916305916</x:v>
      </x:c>
      <x:c r="L11" s="26" t="n">
        <x:v>0.2210838544171877</x:v>
      </x:c>
      <x:c r="M11" s="26" t="n">
        <x:v>111</x:v>
      </x:c>
      <x:c r="N11" s="26" t="n">
        <x:v>1107</x:v>
      </x:c>
      <x:c r="O11" s="26" t="n">
        <x:v>0.0910860675566558</x:v>
      </x:c>
      <x:c r="P11" s="26" t="n">
        <x:v>0.2829537</x:v>
      </x:c>
      <x:c r="Q11" s="26" t="n">
        <x:v>0.3402239894886954</x:v>
      </x:c>
      <x:c r="R11" s="26" t="n">
        <x:v>0.1649875201345789</x:v>
      </x:c>
      <x:c r="S11" s="33" t="n">
        <x:v>0.0910860675566558</x:v>
      </x:c>
      <x:c r="T11" s="33" t="n">
        <x:v>0.2829537</x:v>
      </x:c>
      <x:c r="U11" s="26" t="n">
        <x:v>225</x:v>
      </x:c>
      <x:c r="V11" s="37" t="n">
        <x:v>0.8162790697674419</x:v>
      </x:c>
      <x:c r="W11" s="43" t="n">
        <x:v>10</x:v>
      </x:c>
    </x:row>
    <x:row r="12">
      <x:c r="A12" s="25" t="str">
        <x:v>15596279</x:v>
      </x:c>
      <x:c r="B12" s="26" t="str">
        <x:v>GROCERY</x:v>
      </x:c>
      <x:c r="C12" s="26" t="str">
        <x:v>National</x:v>
      </x:c>
      <x:c r="D12" s="26" t="str">
        <x:v>WAREHOUSE SNACKS</x:v>
      </x:c>
      <x:c r="E12" s="26" t="str">
        <x:v>CANISTER POTATO/TORT CHIPS</x:v>
      </x:c>
      <x:c r="F12" s="26" t="str">
        <x:v> </x:v>
      </x:c>
      <x:c r="G12" s="26" t="n">
        <x:v>65</x:v>
      </x:c>
      <x:c r="H12" s="26" t="n">
        <x:v>127</x:v>
      </x:c>
      <x:c r="I12" s="26" t="n">
        <x:v>0.1089743589743589</x:v>
      </x:c>
      <x:c r="J12" s="26" t="n">
        <x:v>0.19198719</x:v>
      </x:c>
      <x:c r="K12" s="26" t="n">
        <x:v>0.2038461538461538</x:v>
      </x:c>
      <x:c r="L12" s="26" t="n">
        <x:v>0.1576923076923077</x:v>
      </x:c>
      <x:c r="M12" s="26" t="n">
        <x:v>69</x:v>
      </x:c>
      <x:c r="N12" s="26" t="n">
        <x:v>99</x:v>
      </x:c>
      <x:c r="O12" s="26" t="n">
        <x:v>0.0869565217391304</x:v>
      </x:c>
      <x:c r="P12" s="26" t="n">
        <x:v>0.23550725</x:v>
      </x:c>
      <x:c r="Q12" s="26" t="n">
        <x:v>0.2391304347826087</x:v>
      </x:c>
      <x:c r="R12" s="26" t="n">
        <x:v>0.144927536231884</x:v>
      </x:c>
      <x:c r="S12" s="33" t="n">
        <x:v>0.0869565217391304</x:v>
      </x:c>
      <x:c r="T12" s="33" t="n">
        <x:v>0.19198719</x:v>
      </x:c>
      <x:c r="U12" s="26" t="n">
        <x:v>99</x:v>
      </x:c>
      <x:c r="V12" s="37" t="n">
        <x:v>0.86</x:v>
      </x:c>
      <x:c r="W12" s="43" t="n">
        <x:v>1</x:v>
      </x:c>
    </x:row>
    <x:row r="13">
      <x:c r="A13" s="25" t="str">
        <x:v>885582</x:v>
      </x:c>
      <x:c r="B13" s="26" t="str">
        <x:v>GROCERY</x:v>
      </x:c>
      <x:c r="C13" s="26" t="str">
        <x:v>National</x:v>
      </x:c>
      <x:c r="D13" s="26" t="str">
        <x:v>WAREHOUSE SNACKS</x:v>
      </x:c>
      <x:c r="E13" s="26" t="str">
        <x:v>SNACK MIX</x:v>
      </x:c>
      <x:c r="F13" s="26" t="str">
        <x:v>8.75 OZ</x:v>
      </x:c>
      <x:c r="G13" s="26" t="n">
        <x:v>61</x:v>
      </x:c>
      <x:c r="H13" s="26" t="n">
        <x:v>106</x:v>
      </x:c>
      <x:c r="I13" s="26" t="n">
        <x:v>0.0978142076502732</x:v>
      </x:c>
      <x:c r="J13" s="26" t="n">
        <x:v>0.14118034</x:v>
      </x:c>
      <x:c r="K13" s="26" t="n">
        <x:v>0.1524590163934426</x:v>
      </x:c>
      <x:c r="L13" s="26" t="n">
        <x:v>0.0978142076502732</x:v>
      </x:c>
      <x:c r="M13" s="26" t="n">
        <x:v>43</x:v>
      </x:c>
      <x:c r="N13" s="26" t="n">
        <x:v>43</x:v>
      </x:c>
      <x:c r="O13" s="26" t="n">
        <x:v>0.0930232558139534</x:v>
      </x:c>
      <x:c r="P13" s="26" t="n">
        <x:v>0.1627907</x:v>
      </x:c>
      <x:c r="Q13" s="26" t="n">
        <x:v>0.1627906976744186</x:v>
      </x:c>
      <x:c r="R13" s="26" t="n">
        <x:v>0.1162790697674418</x:v>
      </x:c>
      <x:c r="S13" s="33" t="n">
        <x:v>0.0930232558139534</x:v>
      </x:c>
      <x:c r="T13" s="33" t="n">
        <x:v>0.14118034</x:v>
      </x:c>
      <x:c r="U13" s="26" t="n">
        <x:v>43</x:v>
      </x:c>
      <x:c r="V13" s="37" t="n">
        <x:v>0.8200000000000001</x:v>
      </x:c>
      <x:c r="W13" s="43" t="n">
        <x:v>2</x:v>
      </x:c>
    </x:row>
    <x:row r="14">
      <x:c r="A14" s="25" t="str">
        <x:v>974108</x:v>
      </x:c>
      <x:c r="B14" s="26" t="str">
        <x:v>GROCERY</x:v>
      </x:c>
      <x:c r="C14" s="26" t="str">
        <x:v>National</x:v>
      </x:c>
      <x:c r="D14" s="26" t="str">
        <x:v>WAREHOUSE SNACKS</x:v>
      </x:c>
      <x:c r="E14" s="26" t="str">
        <x:v>CANISTER POTATO/TORT CHIPS</x:v>
      </x:c>
      <x:c r="F14" s="26" t="str">
        <x:v>6 OZ</x:v>
      </x:c>
      <x:c r="G14" s="26" t="n">
        <x:v>100</x:v>
      </x:c>
      <x:c r="H14" s="26" t="n">
        <x:v>357</x:v>
      </x:c>
      <x:c r="I14" s="26" t="n">
        <x:v>0.057845238095238</x:v>
      </x:c>
      <x:c r="J14" s="26" t="n">
        <x:v>0.15613215</x:v>
      </x:c>
      <x:c r="K14" s="26" t="n">
        <x:v>0.164797619047619</x:v>
      </x:c>
      <x:c r="L14" s="26" t="n">
        <x:v>0.0987738095238095</x:v>
      </x:c>
      <x:c r="M14" s="26" t="n">
        <x:v>85</x:v>
      </x:c>
      <x:c r="N14" s="26" t="n">
        <x:v>140</x:v>
      </x:c>
      <x:c r="O14" s="26" t="n">
        <x:v>0.0852941176470588</x:v>
      </x:c>
      <x:c r="P14" s="26" t="n">
        <x:v>0.12076471</x:v>
      </x:c>
      <x:c r="Q14" s="26" t="n">
        <x:v>0.1166666666666666</x:v>
      </x:c>
      <x:c r="R14" s="26" t="n">
        <x:v>0.0774509803921568</x:v>
      </x:c>
      <x:c r="S14" s="33" t="n">
        <x:v>0.057845238095238</x:v>
      </x:c>
      <x:c r="T14" s="33" t="n">
        <x:v>0.12076471</x:v>
      </x:c>
      <x:c r="U14" s="26" t="n">
        <x:v>140</x:v>
      </x:c>
      <x:c r="V14" s="37" t="n">
        <x:v>0.7400000000000001</x:v>
      </x:c>
      <x:c r="W14" s="43" t="n">
        <x:v>3</x:v>
      </x:c>
    </x:row>
    <x:row r="15">
      <x:c r="A15" s="25" t="str">
        <x:v>882830</x:v>
      </x:c>
      <x:c r="B15" s="26" t="str">
        <x:v>GROCERY</x:v>
      </x:c>
      <x:c r="C15" s="26" t="str">
        <x:v>National</x:v>
      </x:c>
      <x:c r="D15" s="26" t="str">
        <x:v>WAREHOUSE SNACKS</x:v>
      </x:c>
      <x:c r="E15" s="26" t="str">
        <x:v>CANISTER POTATO/TORT CHIPS</x:v>
      </x:c>
      <x:c r="F15" s="26" t="str">
        <x:v>5.75 OZ</x:v>
      </x:c>
      <x:c r="G15" s="26" t="n">
        <x:v>102</x:v>
      </x:c>
      <x:c r="H15" s="26" t="n">
        <x:v>458</x:v>
      </x:c>
      <x:c r="I15" s="26" t="n">
        <x:v>0.0548411283705401</x:v>
      </x:c>
      <x:c r="J15" s="26" t="n">
        <x:v>0.117186144</x:v>
      </x:c>
      <x:c r="K15" s="26" t="n">
        <x:v>0.1255970064793594</x:v>
      </x:c>
      <x:c r="L15" s="26" t="n">
        <x:v>0.0990638174461703</x:v>
      </x:c>
      <x:c r="M15" s="26" t="n">
        <x:v>101</x:v>
      </x:c>
      <x:c r="N15" s="26" t="n">
        <x:v>242</x:v>
      </x:c>
      <x:c r="O15" s="26" t="n">
        <x:v>0.078052805280528</x:v>
      </x:c>
      <x:c r="P15" s="26" t="n">
        <x:v>0.19397691</x:v>
      </x:c>
      <x:c r="Q15" s="26" t="n">
        <x:v>0.1947194719471947</x:v>
      </x:c>
      <x:c r="R15" s="26" t="n">
        <x:v>0.144059405940594</x:v>
      </x:c>
      <x:c r="S15" s="33" t="n">
        <x:v>0.0548411283705401</x:v>
      </x:c>
      <x:c r="T15" s="33" t="n">
        <x:v>0.117186144</x:v>
      </x:c>
      <x:c r="U15" s="26" t="n">
        <x:v>242</x:v>
      </x:c>
      <x:c r="V15" s="37" t="n">
        <x:v>0.7000000000000001</x:v>
      </x:c>
      <x:c r="W15" s="43" t="n">
        <x:v>4</x:v>
      </x:c>
    </x:row>
    <x:row r="16">
      <x:c r="A16" s="25" t="str">
        <x:v>838733</x:v>
      </x:c>
      <x:c r="B16" s="26" t="str">
        <x:v>GROCERY</x:v>
      </x:c>
      <x:c r="C16" s="26" t="str">
        <x:v>National</x:v>
      </x:c>
      <x:c r="D16" s="26" t="str">
        <x:v>WAREHOUSE SNACKS</x:v>
      </x:c>
      <x:c r="E16" s="26" t="str">
        <x:v>CANISTER POTATO/TORT CHIPS</x:v>
      </x:c>
      <x:c r="F16" s="26" t="str">
        <x:v>5.75 OZ</x:v>
      </x:c>
      <x:c r="G16" s="26" t="n">
        <x:v>17</x:v>
      </x:c>
      <x:c r="H16" s="26" t="n">
        <x:v>26</x:v>
      </x:c>
      <x:c r="I16" s="26" t="n">
        <x:v>0.196078431372549</x:v>
      </x:c>
      <x:c r="J16" s="26" t="n">
        <x:v>0.20725492</x:v>
      </x:c>
      <x:c r="K16" s="26" t="n">
        <x:v>0.196078431372549</x:v>
      </x:c>
      <x:c r="L16" s="26" t="n">
        <x:v>0.196078431372549</x:v>
      </x:c>
      <x:c r="M16" s="26" t="n">
        <x:v>24</x:v>
      </x:c>
      <x:c r="N16" s="26" t="n">
        <x:v>38</x:v>
      </x:c>
      <x:c r="O16" s="26" t="n">
        <x:v>0.0833333333333333</x:v>
      </x:c>
      <x:c r="P16" s="26" t="n">
        <x:v>0.083333336</x:v>
      </x:c>
      <x:c r="Q16" s="26" t="n">
        <x:v>0.0833333333333333</x:v>
      </x:c>
      <x:c r="R16" s="26" t="n">
        <x:v>0.0833333333333333</x:v>
      </x:c>
      <x:c r="S16" s="33" t="n">
        <x:v>0.0833333333333333</x:v>
      </x:c>
      <x:c r="T16" s="33" t="n">
        <x:v>0.083333336</x:v>
      </x:c>
      <x:c r="U16" s="26" t="n">
        <x:v>26</x:v>
      </x:c>
      <x:c r="V16" s="37" t="n">
        <x:v>0.5800000000000001</x:v>
      </x:c>
      <x:c r="W16" s="43" t="n">
        <x:v>5</x:v>
      </x:c>
    </x:row>
    <x:row r="17">
      <x:c r="A17" s="25" t="str">
        <x:v>931671</x:v>
      </x:c>
      <x:c r="B17" s="26" t="str">
        <x:v>GROCERY</x:v>
      </x:c>
      <x:c r="C17" s="26" t="str">
        <x:v>National</x:v>
      </x:c>
      <x:c r="D17" s="26" t="str">
        <x:v>WAREHOUSE SNACKS</x:v>
      </x:c>
      <x:c r="E17" s="26" t="str">
        <x:v>CANISTER POTATO/TORT CHIPS</x:v>
      </x:c>
      <x:c r="F17" s="26" t="str">
        <x:v>5.75 OZ</x:v>
      </x:c>
      <x:c r="G17" s="26" t="n">
        <x:v>107</x:v>
      </x:c>
      <x:c r="H17" s="26" t="n">
        <x:v>568</x:v>
      </x:c>
      <x:c r="I17" s="26" t="n">
        <x:v>0.0805662406129695</x:v>
      </x:c>
      <x:c r="J17" s="26" t="n">
        <x:v>0.12464318</x:v>
      </x:c>
      <x:c r="K17" s="26" t="n">
        <x:v>0.1322870535487358</x:v>
      </x:c>
      <x:c r="L17" s="26" t="n">
        <x:v>0.1058555152013096</x:v>
      </x:c>
      <x:c r="M17" s="26" t="n">
        <x:v>105</x:v>
      </x:c>
      <x:c r="N17" s="26" t="n">
        <x:v>322</x:v>
      </x:c>
      <x:c r="O17" s="26" t="n">
        <x:v>0.0506878306878306</x:v>
      </x:c>
      <x:c r="P17" s="26" t="n">
        <x:v>0.06141058</x:v>
      </x:c>
      <x:c r="Q17" s="26" t="n">
        <x:v>0.0629629629629629</x:v>
      </x:c>
      <x:c r="R17" s="26" t="n">
        <x:v>0.0469841269841269</x:v>
      </x:c>
      <x:c r="S17" s="33" t="n">
        <x:v>0.0506878306878306</x:v>
      </x:c>
      <x:c r="T17" s="33" t="n">
        <x:v>0.06141058</x:v>
      </x:c>
      <x:c r="U17" s="26" t="n">
        <x:v>322</x:v>
      </x:c>
      <x:c r="V17" s="37" t="n">
        <x:v>0.52</x:v>
      </x:c>
      <x:c r="W17" s="43" t="n">
        <x:v>6</x:v>
      </x:c>
    </x:row>
    <x:row r="18">
      <x:c r="A18" s="25" t="str">
        <x:v>6961668</x:v>
      </x:c>
      <x:c r="B18" s="26" t="str">
        <x:v>GROCERY</x:v>
      </x:c>
      <x:c r="C18" s="26" t="str">
        <x:v>National</x:v>
      </x:c>
      <x:c r="D18" s="26" t="str">
        <x:v>WAREHOUSE SNACKS</x:v>
      </x:c>
      <x:c r="E18" s="26" t="str">
        <x:v>CANISTER POTATO/TORT CHIPS</x:v>
      </x:c>
      <x:c r="F18" s="26" t="str">
        <x:v>5.75 OZ</x:v>
      </x:c>
      <x:c r="G18" s="26" t="n">
        <x:v>25</x:v>
      </x:c>
      <x:c r="H18" s="26" t="n">
        <x:v>48</x:v>
      </x:c>
      <x:c r="I18" s="26" t="n">
        <x:v>0.0533333333333333</x:v>
      </x:c>
      <x:c r="J18" s="26" t="n">
        <x:v>0.06666667</x:v>
      </x:c>
      <x:c r="K18" s="26" t="n">
        <x:v>0.0666666666666666</x:v>
      </x:c>
      <x:c r="L18" s="26" t="n">
        <x:v>0.0533333333333333</x:v>
      </x:c>
      <x:c r="M18" s="26" t="n">
        <x:v>34</x:v>
      </x:c>
      <x:c r="N18" s="26" t="n">
        <x:v>37</x:v>
      </x:c>
      <x:c r="O18" s="26" t="n">
        <x:v>0.0588235294117647</x:v>
      </x:c>
      <x:c r="P18" s="26" t="n">
        <x:v>0.0882353</x:v>
      </x:c>
      <x:c r="Q18" s="26" t="n">
        <x:v>0.088235294117647</x:v>
      </x:c>
      <x:c r="R18" s="26" t="n">
        <x:v>0.0588235294117647</x:v>
      </x:c>
      <x:c r="S18" s="33" t="n">
        <x:v>0.0533333333333333</x:v>
      </x:c>
      <x:c r="T18" s="33" t="n">
        <x:v>0.06666667</x:v>
      </x:c>
      <x:c r="U18" s="26" t="n">
        <x:v>37</x:v>
      </x:c>
      <x:c r="V18" s="37" t="n">
        <x:v>0.44000000000000006</x:v>
      </x:c>
      <x:c r="W18" s="43" t="n">
        <x:v>7</x:v>
      </x:c>
    </x:row>
    <x:row r="19">
      <x:c r="A19" s="25" t="str">
        <x:v>961458</x:v>
      </x:c>
      <x:c r="B19" s="26" t="str">
        <x:v>GROCERY</x:v>
      </x:c>
      <x:c r="C19" s="26" t="str">
        <x:v>National</x:v>
      </x:c>
      <x:c r="D19" s="26" t="str">
        <x:v>WAREHOUSE SNACKS</x:v>
      </x:c>
      <x:c r="E19" s="26" t="str">
        <x:v>CANISTER POTATO/TORT CHIPS</x:v>
      </x:c>
      <x:c r="F19" s="26" t="str">
        <x:v>5.75 OZ</x:v>
      </x:c>
      <x:c r="G19" s="26" t="n">
        <x:v>54</x:v>
      </x:c>
      <x:c r="H19" s="26" t="n">
        <x:v>112</x:v>
      </x:c>
      <x:c r="I19" s="26" t="n">
        <x:v>0.0848765432098765</x:v>
      </x:c>
      <x:c r="J19" s="26" t="n">
        <x:v>0.12158025</x:v>
      </x:c>
      <x:c r="K19" s="26" t="n">
        <x:v>0.125</x:v>
      </x:c>
      <x:c r="L19" s="26" t="n">
        <x:v>0.1095679012345679</x:v>
      </x:c>
      <x:c r="M19" s="26" t="n">
        <x:v>80</x:v>
      </x:c>
      <x:c r="N19" s="26" t="n">
        <x:v>138</x:v>
      </x:c>
      <x:c r="O19" s="26" t="n">
        <x:v>0.0354166666666666</x:v>
      </x:c>
      <x:c r="P19" s="26" t="n">
        <x:v>0.047916666</x:v>
      </x:c>
      <x:c r="Q19" s="26" t="n">
        <x:v>0.0479166666666666</x:v>
      </x:c>
      <x:c r="R19" s="26" t="n">
        <x:v>0.0291666666666666</x:v>
      </x:c>
      <x:c r="S19" s="33" t="n">
        <x:v>0.0354166666666666</x:v>
      </x:c>
      <x:c r="T19" s="33" t="n">
        <x:v>0.047916666</x:v>
      </x:c>
      <x:c r="U19" s="26" t="n">
        <x:v>112</x:v>
      </x:c>
      <x:c r="V19" s="37" t="n">
        <x:v>0.36</x:v>
      </x:c>
      <x:c r="W19" s="43" t="n">
        <x:v>8</x:v>
      </x:c>
    </x:row>
    <x:row r="20">
      <x:c r="A20" s="25" t="str">
        <x:v>868319</x:v>
      </x:c>
      <x:c r="B20" s="26" t="str">
        <x:v>GROCERY</x:v>
      </x:c>
      <x:c r="C20" s="26" t="str">
        <x:v>National</x:v>
      </x:c>
      <x:c r="D20" s="26" t="str">
        <x:v>WAREHOUSE SNACKS</x:v>
      </x:c>
      <x:c r="E20" s="26" t="str">
        <x:v>CANISTER POTATO/TORT CHIPS</x:v>
      </x:c>
      <x:c r="F20" s="26" t="str">
        <x:v>5.125 OZ</x:v>
      </x:c>
      <x:c r="G20" s="26" t="n">
        <x:v>97</x:v>
      </x:c>
      <x:c r="H20" s="26" t="n">
        <x:v>318</x:v>
      </x:c>
      <x:c r="I20" s="26" t="n">
        <x:v>0.0349779086892488</x:v>
      </x:c>
      <x:c r="J20" s="26" t="n">
        <x:v>0.045701522</x:v>
      </x:c>
      <x:c r="K20" s="26" t="n">
        <x:v>0.0521600392734413</x:v>
      </x:c>
      <x:c r="L20" s="26" t="n">
        <x:v>0.0263868433971526</x:v>
      </x:c>
      <x:c r="M20" s="26" t="n">
        <x:v>82</x:v>
      </x:c>
      <x:c r="N20" s="26" t="n">
        <x:v>151</x:v>
      </x:c>
      <x:c r="O20" s="26" t="n">
        <x:v>0.040650406504065</x:v>
      </x:c>
      <x:c r="P20" s="26" t="n">
        <x:v>0.032520324</x:v>
      </x:c>
      <x:c r="Q20" s="26" t="n">
        <x:v>0.032520325203252</x:v>
      </x:c>
      <x:c r="R20" s="26" t="n">
        <x:v>0.0203252032520325</x:v>
      </x:c>
      <x:c r="S20" s="33" t="n">
        <x:v>0.0349779086892488</x:v>
      </x:c>
      <x:c r="T20" s="33" t="n">
        <x:v>0.032520324</x:v>
      </x:c>
      <x:c r="U20" s="26" t="n">
        <x:v>151</x:v>
      </x:c>
      <x:c r="V20" s="37" t="n">
        <x:v>0.32000000000000006</x:v>
      </x:c>
      <x:c r="W20" s="43" t="n">
        <x:v>9</x:v>
      </x:c>
    </x:row>
    <x:row r="21">
      <x:c r="A21" s="25" t="str">
        <x:v>928036</x:v>
      </x:c>
      <x:c r="B21" s="26" t="str">
        <x:v>GROCERY</x:v>
      </x:c>
      <x:c r="C21" s="26" t="str">
        <x:v>National</x:v>
      </x:c>
      <x:c r="D21" s="26" t="str">
        <x:v>WAREHOUSE SNACKS</x:v>
      </x:c>
      <x:c r="E21" s="26" t="str">
        <x:v>CANISTER POTATO/TORT CHIPS</x:v>
      </x:c>
      <x:c r="F21" s="26" t="str">
        <x:v>6 OZ</x:v>
      </x:c>
      <x:c r="G21" s="26" t="n">
        <x:v>61</x:v>
      </x:c>
      <x:c r="H21" s="26" t="n">
        <x:v>164</x:v>
      </x:c>
      <x:c r="I21" s="26" t="n">
        <x:v>0.0701014832162373</x:v>
      </x:c>
      <x:c r="J21" s="26" t="n">
        <x:v>0.10243521</x:v>
      </x:c>
      <x:c r="K21" s="26" t="n">
        <x:v>0.1134270101483216</x:v>
      </x:c>
      <x:c r="L21" s="26" t="n">
        <x:v>0.0701014832162373</x:v>
      </x:c>
      <x:c r="M21" s="26" t="n">
        <x:v>54</x:v>
      </x:c>
      <x:c r="N21" s="26" t="n">
        <x:v>60</x:v>
      </x:c>
      <x:c r="O21" s="26" t="n">
        <x:v>0.0185185185185185</x:v>
      </x:c>
      <x:c r="P21" s="26" t="n">
        <x:v>0.018518519</x:v>
      </x:c>
      <x:c r="Q21" s="26" t="n">
        <x:v>0.0185185185185185</x:v>
      </x:c>
      <x:c r="R21" s="26" t="n">
        <x:v>0.0185185185185185</x:v>
      </x:c>
      <x:c r="S21" s="33" t="n">
        <x:v>0.0185185185185185</x:v>
      </x:c>
      <x:c r="T21" s="33" t="n">
        <x:v>0.018518519</x:v>
      </x:c>
      <x:c r="U21" s="26" t="n">
        <x:v>60</x:v>
      </x:c>
      <x:c r="V21" s="37" t="n">
        <x:v>0.16000000000000003</x:v>
      </x:c>
      <x:c r="W21" s="43" t="n">
        <x:v>10</x:v>
      </x:c>
    </x:row>
    <x:row r="22">
      <x:c r="A22" s="25" t="str">
        <x:v>995896</x:v>
      </x:c>
      <x:c r="B22" s="26" t="str">
        <x:v>MEAT-PCKGD</x:v>
      </x:c>
      <x:c r="C22" s="26" t="str">
        <x:v>National</x:v>
      </x:c>
      <x:c r="D22" s="26" t="str">
        <x:v>BACON</x:v>
      </x:c>
      <x:c r="E22" s="26" t="str">
        <x:v>PREMIUM</x:v>
      </x:c>
      <x:c r="F22" s="26" t="str">
        <x:v>1 LB</x:v>
      </x:c>
      <x:c r="G22" s="26" t="n">
        <x:v>27</x:v>
      </x:c>
      <x:c r="H22" s="26" t="n">
        <x:v>56</x:v>
      </x:c>
      <x:c r="I22" s="26" t="n">
        <x:v>0.3388888888888889</x:v>
      </x:c>
      <x:c r="J22" s="26" t="n">
        <x:v>1.7285802</x:v>
      </x:c>
      <x:c r="K22" s="26" t="n">
        <x:v>0.6549382716049382</x:v>
      </x:c>
      <x:c r="L22" s="26" t="n">
        <x:v>0.3574074074074074</x:v>
      </x:c>
      <x:c r="M22" s="26" t="n">
        <x:v>98</x:v>
      </x:c>
      <x:c r="N22" s="26" t="n">
        <x:v>246</x:v>
      </x:c>
      <x:c r="O22" s="26" t="n">
        <x:v>0.2585034013605442</x:v>
      </x:c>
      <x:c r="P22" s="26" t="n">
        <x:v>1.4813604</x:v>
      </x:c>
      <x:c r="Q22" s="26" t="n">
        <x:v>0.6241496598639455</x:v>
      </x:c>
      <x:c r="R22" s="26" t="n">
        <x:v>0.3248299319727891</x:v>
      </x:c>
      <x:c r="S22" s="33" t="n">
        <x:v>0.2585034013605442</x:v>
      </x:c>
      <x:c r="T22" s="33" t="n">
        <x:v>1.4813604</x:v>
      </x:c>
      <x:c r="U22" s="26" t="n">
        <x:v>56</x:v>
      </x:c>
      <x:c r="V22" s="37" t="n">
        <x:v>0.8666666666666667</x:v>
      </x:c>
      <x:c r="W22" s="43" t="n">
        <x:v>1</x:v>
      </x:c>
    </x:row>
    <x:row r="23">
      <x:c r="A23" s="25" t="str">
        <x:v>1042907</x:v>
      </x:c>
      <x:c r="B23" s="26" t="str">
        <x:v>MEAT-PCKGD</x:v>
      </x:c>
      <x:c r="C23" s="26" t="str">
        <x:v>Private</x:v>
      </x:c>
      <x:c r="D23" s="26" t="str">
        <x:v>BACON</x:v>
      </x:c>
      <x:c r="E23" s="26" t="str">
        <x:v>PREMIUM</x:v>
      </x:c>
      <x:c r="F23" s="26" t="str">
        <x:v>16OZ</x:v>
      </x:c>
      <x:c r="G23" s="26" t="n">
        <x:v>39</x:v>
      </x:c>
      <x:c r="H23" s="26" t="n">
        <x:v>97</x:v>
      </x:c>
      <x:c r="I23" s="26" t="n">
        <x:v>0.2126068376068376</x:v>
      </x:c>
      <x:c r="J23" s="26" t="n">
        <x:v>0.8066881</x:v>
      </x:c>
      <x:c r="K23" s="26" t="n">
        <x:v>0.3482905982905983</x:v>
      </x:c>
      <x:c r="L23" s="26" t="n">
        <x:v>0.1955128205128205</x:v>
      </x:c>
      <x:c r="M23" s="26" t="n">
        <x:v>109</x:v>
      </x:c>
      <x:c r="N23" s="26" t="n">
        <x:v>831</x:v>
      </x:c>
      <x:c r="O23" s="26" t="n">
        <x:v>0.0900983318414511</x:v>
      </x:c>
      <x:c r="P23" s="26" t="n">
        <x:v>0.3436649</x:v>
      </x:c>
      <x:c r="Q23" s="26" t="n">
        <x:v>0.1343732210704687</x:v>
      </x:c>
      <x:c r="R23" s="26" t="n">
        <x:v>0.1125311487696808</x:v>
      </x:c>
      <x:c r="S23" s="33" t="n">
        <x:v>0.0900983318414511</x:v>
      </x:c>
      <x:c r="T23" s="33" t="n">
        <x:v>0.3436649</x:v>
      </x:c>
      <x:c r="U23" s="26" t="n">
        <x:v>97</x:v>
      </x:c>
      <x:c r="V23" s="37" t="n">
        <x:v>0.8166666666666668</x:v>
      </x:c>
      <x:c r="W23" s="43" t="n">
        <x:v>2</x:v>
      </x:c>
    </x:row>
    <x:row r="24">
      <x:c r="A24" s="25" t="str">
        <x:v>999270</x:v>
      </x:c>
      <x:c r="B24" s="26" t="str">
        <x:v>MEAT-PCKGD</x:v>
      </x:c>
      <x:c r="C24" s="26" t="str">
        <x:v>National</x:v>
      </x:c>
      <x:c r="D24" s="26" t="str">
        <x:v>BACON</x:v>
      </x:c>
      <x:c r="E24" s="26" t="str">
        <x:v>ECONOMY</x:v>
      </x:c>
      <x:c r="F24" s="26" t="str">
        <x:v>1 LB</x:v>
      </x:c>
      <x:c r="G24" s="26" t="n">
        <x:v>68</x:v>
      </x:c>
      <x:c r="H24" s="26" t="n">
        <x:v>270</x:v>
      </x:c>
      <x:c r="I24" s="26" t="n">
        <x:v>0.1339460784313725</x:v>
      </x:c>
      <x:c r="J24" s="26" t="n">
        <x:v>0.64963275</x:v>
      </x:c>
      <x:c r="K24" s="26" t="n">
        <x:v>0.2803104575163399</x:v>
      </x:c>
      <x:c r="L24" s="26" t="n">
        <x:v>0.1674428104575163</x:v>
      </x:c>
      <x:c r="M24" s="26" t="n">
        <x:v>110</x:v>
      </x:c>
      <x:c r="N24" s="26" t="n">
        <x:v>766</x:v>
      </x:c>
      <x:c r="O24" s="26" t="n">
        <x:v>0.0413579602215965</x:v>
      </x:c>
      <x:c r="P24" s="26" t="n">
        <x:v>0.22945811</x:v>
      </x:c>
      <x:c r="Q24" s="26" t="n">
        <x:v>0.0942623285805104</x:v>
      </x:c>
      <x:c r="R24" s="26" t="n">
        <x:v>0.0574185662822026</x:v>
      </x:c>
      <x:c r="S24" s="33" t="n">
        <x:v>0.0413579602215965</x:v>
      </x:c>
      <x:c r="T24" s="33" t="n">
        <x:v>0.22945811</x:v>
      </x:c>
      <x:c r="U24" s="26" t="n">
        <x:v>270</x:v>
      </x:c>
      <x:c r="V24" s="37" t="n">
        <x:v>0.7333333333333334</x:v>
      </x:c>
      <x:c r="W24" s="43" t="n">
        <x:v>3</x:v>
      </x:c>
    </x:row>
    <x:row r="25">
      <x:c r="A25" s="25" t="str">
        <x:v>930666</x:v>
      </x:c>
      <x:c r="B25" s="26" t="str">
        <x:v>MEAT-PCKGD</x:v>
      </x:c>
      <x:c r="C25" s="26" t="str">
        <x:v>National</x:v>
      </x:c>
      <x:c r="D25" s="26" t="str">
        <x:v>BACON</x:v>
      </x:c>
      <x:c r="E25" s="26" t="str">
        <x:v>ECONOMY</x:v>
      </x:c>
      <x:c r="F25" s="26" t="str">
        <x:v>16 OZ</x:v>
      </x:c>
      <x:c r="G25" s="26" t="n">
        <x:v>39</x:v>
      </x:c>
      <x:c r="H25" s="26" t="n">
        <x:v>79</x:v>
      </x:c>
      <x:c r="I25" s="26" t="n">
        <x:v>0.1172161172161172</x:v>
      </x:c>
      <x:c r="J25" s="26" t="n">
        <x:v>0.26007324</x:v>
      </x:c>
      <x:c r="K25" s="26" t="n">
        <x:v>0.115995115995116</x:v>
      </x:c>
      <x:c r="L25" s="26" t="n">
        <x:v>0.1172161172161172</x:v>
      </x:c>
      <x:c r="M25" s="26" t="n">
        <x:v>94</x:v>
      </x:c>
      <x:c r="N25" s="26" t="n">
        <x:v>223</x:v>
      </x:c>
      <x:c r="O25" s="26" t="n">
        <x:v>0.0613475177304964</x:v>
      </x:c>
      <x:c r="P25" s="26" t="n">
        <x:v>0.18228368</x:v>
      </x:c>
      <x:c r="Q25" s="26" t="n">
        <x:v>0.0723404255319148</x:v>
      </x:c>
      <x:c r="R25" s="26" t="n">
        <x:v>0.0542553191489361</x:v>
      </x:c>
      <x:c r="S25" s="33" t="n">
        <x:v>0.0613475177304964</x:v>
      </x:c>
      <x:c r="T25" s="33" t="n">
        <x:v>0.18228368</x:v>
      </x:c>
      <x:c r="U25" s="26" t="n">
        <x:v>79</x:v>
      </x:c>
      <x:c r="V25" s="37" t="n">
        <x:v>0.6333333333333334</x:v>
      </x:c>
      <x:c r="W25" s="43" t="n">
        <x:v>4</x:v>
      </x:c>
    </x:row>
    <x:row r="26">
      <x:c r="A26" s="25" t="str">
        <x:v>1123842</x:v>
      </x:c>
      <x:c r="B26" s="26" t="str">
        <x:v>MEAT-PCKGD</x:v>
      </x:c>
      <x:c r="C26" s="26" t="str">
        <x:v>Private</x:v>
      </x:c>
      <x:c r="D26" s="26" t="str">
        <x:v>BACON</x:v>
      </x:c>
      <x:c r="E26" s="26" t="str">
        <x:v>PREMIUM</x:v>
      </x:c>
      <x:c r="F26" s="26" t="str">
        <x:v>16OZ</x:v>
      </x:c>
      <x:c r="G26" s="26" t="n">
        <x:v>30</x:v>
      </x:c>
      <x:c r="H26" s="26" t="n">
        <x:v>55</x:v>
      </x:c>
      <x:c r="I26" s="26" t="n">
        <x:v>0.0583333333333333</x:v>
      </x:c>
      <x:c r="J26" s="26" t="n">
        <x:v>0.20183334</x:v>
      </x:c>
      <x:c r="K26" s="26" t="n">
        <x:v>0.0861111111111111</x:v>
      </x:c>
      <x:c r="L26" s="26" t="n">
        <x:v>0.0583333333333333</x:v>
      </x:c>
      <x:c r="M26" s="26" t="n">
        <x:v>107</x:v>
      </x:c>
      <x:c r="N26" s="26" t="n">
        <x:v>640</x:v>
      </x:c>
      <x:c r="O26" s="26" t="n">
        <x:v>0.0440179498590713</x:v>
      </x:c>
      <x:c r="P26" s="26" t="n">
        <x:v>0.29774308</x:v>
      </x:c>
      <x:c r="Q26" s="26" t="n">
        <x:v>0.1255600059338377</x:v>
      </x:c>
      <x:c r="R26" s="26" t="n">
        <x:v>0.0585855214359887</x:v>
      </x:c>
      <x:c r="S26" s="33" t="n">
        <x:v>0.0440179498590713</x:v>
      </x:c>
      <x:c r="T26" s="33" t="n">
        <x:v>0.20183334</x:v>
      </x:c>
      <x:c r="U26" s="26" t="n">
        <x:v>55</x:v>
      </x:c>
      <x:c r="V26" s="37" t="n">
        <x:v>0.5833333333333334</x:v>
      </x:c>
      <x:c r="W26" s="43" t="n">
        <x:v>5</x:v>
      </x:c>
    </x:row>
    <x:row r="27">
      <x:c r="A27" s="25" t="str">
        <x:v>8065410</x:v>
      </x:c>
      <x:c r="B27" s="26" t="str">
        <x:v>MEAT-PCKGD</x:v>
      </x:c>
      <x:c r="C27" s="26" t="str">
        <x:v>National</x:v>
      </x:c>
      <x:c r="D27" s="26" t="str">
        <x:v>BACON</x:v>
      </x:c>
      <x:c r="E27" s="26" t="str">
        <x:v>ECONOMY</x:v>
      </x:c>
      <x:c r="F27" s="26" t="str">
        <x:v>16 OZ</x:v>
      </x:c>
      <x:c r="G27" s="26" t="n">
        <x:v>46</x:v>
      </x:c>
      <x:c r="H27" s="26" t="n">
        <x:v>133</x:v>
      </x:c>
      <x:c r="I27" s="26" t="n">
        <x:v>0.2228260869565217</x:v>
      </x:c>
      <x:c r="J27" s="26" t="n">
        <x:v>1.0133696</x:v>
      </x:c>
      <x:c r="K27" s="26" t="n">
        <x:v>0.4163043478260869</x:v>
      </x:c>
      <x:c r="L27" s="26" t="n">
        <x:v>0.2619565217391305</x:v>
      </x:c>
      <x:c r="M27" s="26" t="n">
        <x:v>96</x:v>
      </x:c>
      <x:c r="N27" s="26" t="n">
        <x:v>259</x:v>
      </x:c>
      <x:c r="O27" s="26" t="n">
        <x:v>0.0256944444444444</x:v>
      </x:c>
      <x:c r="P27" s="26" t="n">
        <x:v>0.4404861</x:v>
      </x:c>
      <x:c r="Q27" s="26" t="n">
        <x:v>0.1788194444444444</x:v>
      </x:c>
      <x:c r="R27" s="26" t="n">
        <x:v>0.0684027777777777</x:v>
      </x:c>
      <x:c r="S27" s="33" t="n">
        <x:v>0.0256944444444444</x:v>
      </x:c>
      <x:c r="T27" s="33" t="n">
        <x:v>0.4404861</x:v>
      </x:c>
      <x:c r="U27" s="26" t="n">
        <x:v>133</x:v>
      </x:c>
      <x:c r="V27" s="37" t="n">
        <x:v>0.5833333333333334</x:v>
      </x:c>
      <x:c r="W27" s="43" t="n">
        <x:v>6</x:v>
      </x:c>
    </x:row>
    <x:row r="28">
      <x:c r="A28" s="25" t="str">
        <x:v>896862</x:v>
      </x:c>
      <x:c r="B28" s="26" t="str">
        <x:v>MEAT-PCKGD</x:v>
      </x:c>
      <x:c r="C28" s="26" t="str">
        <x:v>National</x:v>
      </x:c>
      <x:c r="D28" s="26" t="str">
        <x:v>BACON</x:v>
      </x:c>
      <x:c r="E28" s="26" t="str">
        <x:v>ECONOMY</x:v>
      </x:c>
      <x:c r="F28" s="26" t="str">
        <x:v>1 LB</x:v>
      </x:c>
      <x:c r="G28" s="26" t="n">
        <x:v>53</x:v>
      </x:c>
      <x:c r="H28" s="26" t="n">
        <x:v>168</x:v>
      </x:c>
      <x:c r="I28" s="26" t="n">
        <x:v>0.0733026931140138</x:v>
      </x:c>
      <x:c r="J28" s="26" t="n">
        <x:v>0.20239018</x:v>
      </x:c>
      <x:c r="K28" s="26" t="n">
        <x:v>0.0868408321238509</x:v>
      </x:c>
      <x:c r="L28" s="26" t="n">
        <x:v>0.075189485566844</x:v>
      </x:c>
      <x:c r="M28" s="26" t="n">
        <x:v>109</x:v>
      </x:c>
      <x:c r="N28" s="26" t="n">
        <x:v>692</x:v>
      </x:c>
      <x:c r="O28" s="26" t="n">
        <x:v>0.0364867548353786</x:v>
      </x:c>
      <x:c r="P28" s="26" t="n">
        <x:v>0.14095622</x:v>
      </x:c>
      <x:c r="Q28" s="26" t="n">
        <x:v>0.0555088896832016</x:v>
      </x:c>
      <x:c r="R28" s="26" t="n">
        <x:v>0.0397705760091081</x:v>
      </x:c>
      <x:c r="S28" s="33" t="n">
        <x:v>0.0364867548353786</x:v>
      </x:c>
      <x:c r="T28" s="33" t="n">
        <x:v>0.14095622</x:v>
      </x:c>
      <x:c r="U28" s="26" t="n">
        <x:v>168</x:v>
      </x:c>
      <x:c r="V28" s="37" t="n">
        <x:v>0.5166666666666667</x:v>
      </x:c>
      <x:c r="W28" s="43" t="n">
        <x:v>7</x:v>
      </x:c>
    </x:row>
    <x:row r="29">
      <x:c r="A29" s="25" t="str">
        <x:v>6464086</x:v>
      </x:c>
      <x:c r="B29" s="26" t="str">
        <x:v>MEAT-PCKGD</x:v>
      </x:c>
      <x:c r="C29" s="26" t="str">
        <x:v>Private</x:v>
      </x:c>
      <x:c r="D29" s="26" t="str">
        <x:v>BACON</x:v>
      </x:c>
      <x:c r="E29" s="26" t="str">
        <x:v>BETTER FOR YOU</x:v>
      </x:c>
      <x:c r="F29" s="26" t="str">
        <x:v>16 OZ</x:v>
      </x:c>
      <x:c r="G29" s="26" t="n">
        <x:v>27</x:v>
      </x:c>
      <x:c r="H29" s="26" t="n">
        <x:v>59</x:v>
      </x:c>
      <x:c r="I29" s="26" t="n">
        <x:v>0.0802469135802469</x:v>
      </x:c>
      <x:c r="J29" s="26" t="n">
        <x:v>0.054876547</x:v>
      </x:c>
      <x:c r="K29" s="26" t="n">
        <x:v>0.074074074074074</x:v>
      </x:c>
      <x:c r="L29" s="26" t="n">
        <x:v>0.0802469135802469</x:v>
      </x:c>
      <x:c r="M29" s="26" t="n">
        <x:v>107</x:v>
      </x:c>
      <x:c r="N29" s="26" t="n">
        <x:v>725</x:v>
      </x:c>
      <x:c r="O29" s="26" t="n">
        <x:v>0.0755920351714744</x:v>
      </x:c>
      <x:c r="P29" s="26" t="n">
        <x:v>0.30901852</x:v>
      </x:c>
      <x:c r="Q29" s="26" t="n">
        <x:v>0.1275967282976629</x:v>
      </x:c>
      <x:c r="R29" s="26" t="n">
        <x:v>0.074768378039406</x:v>
      </x:c>
      <x:c r="S29" s="33" t="n">
        <x:v>0.0755920351714744</x:v>
      </x:c>
      <x:c r="T29" s="33" t="n">
        <x:v>0.054876547</x:v>
      </x:c>
      <x:c r="U29" s="26" t="n">
        <x:v>59</x:v>
      </x:c>
      <x:c r="V29" s="37" t="n">
        <x:v>0.4833333333333334</x:v>
      </x:c>
      <x:c r="W29" s="43" t="n">
        <x:v>8</x:v>
      </x:c>
    </x:row>
    <x:row r="30">
      <x:c r="A30" s="25" t="str">
        <x:v>933067</x:v>
      </x:c>
      <x:c r="B30" s="26" t="str">
        <x:v>MEAT-PCKGD</x:v>
      </x:c>
      <x:c r="C30" s="26" t="str">
        <x:v>National</x:v>
      </x:c>
      <x:c r="D30" s="26" t="str">
        <x:v>BACON</x:v>
      </x:c>
      <x:c r="E30" s="26" t="str">
        <x:v>FLAVORED/OTHER</x:v>
      </x:c>
      <x:c r="F30" s="26" t="str">
        <x:v>16 OZ</x:v>
      </x:c>
      <x:c r="G30" s="26" t="n">
        <x:v>46</x:v>
      </x:c>
      <x:c r="H30" s="26" t="n">
        <x:v>130</x:v>
      </x:c>
      <x:c r="I30" s="26" t="n">
        <x:v>0.0414855072463768</x:v>
      </x:c>
      <x:c r="J30" s="26" t="n">
        <x:v>0.123659424</x:v>
      </x:c>
      <x:c r="K30" s="26" t="n">
        <x:v>0.0642279821627647</x:v>
      </x:c>
      <x:c r="L30" s="26" t="n">
        <x:v>0.0702898550724637</x:v>
      </x:c>
      <x:c r="M30" s="26" t="n">
        <x:v>106</x:v>
      </x:c>
      <x:c r="N30" s="26" t="n">
        <x:v>679</x:v>
      </x:c>
      <x:c r="O30" s="26" t="n">
        <x:v>0.0380132184377467</x:v>
      </x:c>
      <x:c r="P30" s="26" t="n">
        <x:v>0.18002772</x:v>
      </x:c>
      <x:c r="Q30" s="26" t="n">
        <x:v>0.0740647717062811</x:v>
      </x:c>
      <x:c r="R30" s="26" t="n">
        <x:v>0.040251912657573</x:v>
      </x:c>
      <x:c r="S30" s="33" t="n">
        <x:v>0.0380132184377467</x:v>
      </x:c>
      <x:c r="T30" s="33" t="n">
        <x:v>0.123659424</x:v>
      </x:c>
      <x:c r="U30" s="26" t="n">
        <x:v>130</x:v>
      </x:c>
      <x:c r="V30" s="37" t="n">
        <x:v>0.4666666666666667</x:v>
      </x:c>
      <x:c r="W30" s="43" t="n">
        <x:v>9</x:v>
      </x:c>
    </x:row>
    <x:row r="31">
      <x:c r="A31" s="25" t="str">
        <x:v>837865</x:v>
      </x:c>
      <x:c r="B31" s="26" t="str">
        <x:v>MEAT-PCKGD</x:v>
      </x:c>
      <x:c r="C31" s="26" t="str">
        <x:v>National</x:v>
      </x:c>
      <x:c r="D31" s="26" t="str">
        <x:v>BACON</x:v>
      </x:c>
      <x:c r="E31" s="26" t="str">
        <x:v>FLAVORED/OTHER</x:v>
      </x:c>
      <x:c r="F31" s="26" t="str">
        <x:v>1 LB</x:v>
      </x:c>
      <x:c r="G31" s="26" t="n">
        <x:v>26</x:v>
      </x:c>
      <x:c r="H31" s="26" t="n">
        <x:v>42</x:v>
      </x:c>
      <x:c r="I31" s="26" t="n">
        <x:v>0.0512820512820512</x:v>
      </x:c>
      <x:c r="J31" s="26" t="n">
        <x:v>0.23679486</x:v>
      </x:c>
      <x:c r="K31" s="26" t="n">
        <x:v>0.1025641025641025</x:v>
      </x:c>
      <x:c r="L31" s="26" t="n">
        <x:v>0.0512820512820512</x:v>
      </x:c>
      <x:c r="M31" s="26" t="n">
        <x:v>92</x:v>
      </x:c>
      <x:c r="N31" s="26" t="n">
        <x:v>205</x:v>
      </x:c>
      <x:c r="O31" s="26" t="n">
        <x:v>0.0271739130434782</x:v>
      </x:c>
      <x:c r="P31" s="26" t="n">
        <x:v>0.15472825</x:v>
      </x:c>
      <x:c r="Q31" s="26" t="n">
        <x:v>0.0887681159420289</x:v>
      </x:c>
      <x:c r="R31" s="26" t="n">
        <x:v>0.0507246376811594</x:v>
      </x:c>
      <x:c r="S31" s="33" t="n">
        <x:v>0.0271739130434782</x:v>
      </x:c>
      <x:c r="T31" s="33" t="n">
        <x:v>0.15472825</x:v>
      </x:c>
      <x:c r="U31" s="26" t="n">
        <x:v>42</x:v>
      </x:c>
      <x:c r="V31" s="37" t="n">
        <x:v>0.33333333333333337</x:v>
      </x:c>
      <x:c r="W31" s="43" t="n">
        <x:v>10</x:v>
      </x:c>
    </x:row>
    <x:row r="32">
      <x:c r="A32" s="25" t="str">
        <x:v>823704</x:v>
      </x:c>
      <x:c r="B32" s="26" t="str">
        <x:v>MEAT-PCKGD</x:v>
      </x:c>
      <x:c r="C32" s="26" t="str">
        <x:v>National</x:v>
      </x:c>
      <x:c r="D32" s="26" t="str">
        <x:v>BREAKFAST SAUSAGE/SANDWICHES</x:v>
      </x:c>
      <x:c r="E32" s="26" t="str">
        <x:v>ROLLS - PORK</x:v>
      </x:c>
      <x:c r="F32" s="26" t="str">
        <x:v>16 OZ</x:v>
      </x:c>
      <x:c r="G32" s="26" t="n">
        <x:v>69</x:v>
      </x:c>
      <x:c r="H32" s="26" t="n">
        <x:v>301</x:v>
      </x:c>
      <x:c r="I32" s="26" t="n">
        <x:v>0.1011998468520207</x:v>
      </x:c>
      <x:c r="J32" s="26" t="n">
        <x:v>0.3906729</x:v>
      </x:c>
      <x:c r="K32" s="26" t="n">
        <x:v>0.1672743914001002</x:v>
      </x:c>
      <x:c r="L32" s="26" t="n">
        <x:v>0.1271922854153478</x:v>
      </x:c>
      <x:c r="M32" s="26" t="n">
        <x:v>111</x:v>
      </x:c>
      <x:c r="N32" s="26" t="n">
        <x:v>852</x:v>
      </x:c>
      <x:c r="O32" s="26" t="n">
        <x:v>0.0915251915251915</x:v>
      </x:c>
      <x:c r="P32" s="26" t="n">
        <x:v>0.43038812</x:v>
      </x:c>
      <x:c r="Q32" s="26" t="n">
        <x:v>0.1808664808664808</x:v>
      </x:c>
      <x:c r="R32" s="26" t="n">
        <x:v>0.1288700038700038</x:v>
      </x:c>
      <x:c r="S32" s="33" t="n">
        <x:v>0.0915251915251915</x:v>
      </x:c>
      <x:c r="T32" s="33" t="n">
        <x:v>0.3906729</x:v>
      </x:c>
      <x:c r="U32" s="26" t="n">
        <x:v>301</x:v>
      </x:c>
      <x:c r="V32" s="37" t="n">
        <x:v>0.9473684210526315</x:v>
      </x:c>
      <x:c r="W32" s="43" t="n">
        <x:v>1</x:v>
      </x:c>
    </x:row>
    <x:row r="33">
      <x:c r="A33" s="25" t="str">
        <x:v>819255</x:v>
      </x:c>
      <x:c r="B33" s="26" t="str">
        <x:v>MEAT-PCKGD</x:v>
      </x:c>
      <x:c r="C33" s="26" t="str">
        <x:v>National</x:v>
      </x:c>
      <x:c r="D33" s="26" t="str">
        <x:v>BREAKFAST SAUSAGE/SANDWICHES</x:v>
      </x:c>
      <x:c r="E33" s="26" t="str">
        <x:v>ROLLS - PORK</x:v>
      </x:c>
      <x:c r="F33" s="26" t="str">
        <x:v>1 LB</x:v>
      </x:c>
      <x:c r="G33" s="26" t="n">
        <x:v>65</x:v>
      </x:c>
      <x:c r="H33" s="26" t="n">
        <x:v>214</x:v>
      </x:c>
      <x:c r="I33" s="26" t="n">
        <x:v>0.0917216117216117</x:v>
      </x:c>
      <x:c r="J33" s="26" t="n">
        <x:v>0.33253258</x:v>
      </x:c>
      <x:c r="K33" s="26" t="n">
        <x:v>0.1779487179487179</x:v>
      </x:c>
      <x:c r="L33" s="26" t="n">
        <x:v>0.1178754578754578</x:v>
      </x:c>
      <x:c r="M33" s="26" t="n">
        <x:v>92</x:v>
      </x:c>
      <x:c r="N33" s="26" t="n">
        <x:v>250</x:v>
      </x:c>
      <x:c r="O33" s="26" t="n">
        <x:v>0.1472826086956521</x:v>
      </x:c>
      <x:c r="P33" s="26" t="n">
        <x:v>0.4081069</x:v>
      </x:c>
      <x:c r="Q33" s="26" t="n">
        <x:v>0.2471014492753623</x:v>
      </x:c>
      <x:c r="R33" s="26" t="n">
        <x:v>0.1552536231884058</x:v>
      </x:c>
      <x:c r="S33" s="33" t="n">
        <x:v>0.0917216117216117</x:v>
      </x:c>
      <x:c r="T33" s="33" t="n">
        <x:v>0.33253258</x:v>
      </x:c>
      <x:c r="U33" s="26" t="n">
        <x:v>214</x:v>
      </x:c>
      <x:c r="V33" s="37" t="n">
        <x:v>0.9263157894736842</x:v>
      </x:c>
      <x:c r="W33" s="43" t="n">
        <x:v>2</x:v>
      </x:c>
    </x:row>
    <x:row r="34">
      <x:c r="A34" s="25" t="str">
        <x:v>1042544</x:v>
      </x:c>
      <x:c r="B34" s="26" t="str">
        <x:v>MEAT-PCKGD</x:v>
      </x:c>
      <x:c r="C34" s="26" t="str">
        <x:v>National</x:v>
      </x:c>
      <x:c r="D34" s="26" t="str">
        <x:v>BREAKFAST SAUSAGE/SANDWICHES</x:v>
      </x:c>
      <x:c r="E34" s="26" t="str">
        <x:v>SANDWICHES/BISCUITS/GRAVY</x:v>
      </x:c>
      <x:c r="F34" s="26" t="str">
        <x:v>27.5OZ</x:v>
      </x:c>
      <x:c r="G34" s="26" t="n">
        <x:v>88</x:v>
      </x:c>
      <x:c r="H34" s="26" t="n">
        <x:v>698</x:v>
      </x:c>
      <x:c r="I34" s="26" t="n">
        <x:v>0.0684804139573876</x:v>
      </x:c>
      <x:c r="J34" s="26" t="n">
        <x:v>0.41327783</x:v>
      </x:c>
      <x:c r="K34" s="26" t="n">
        <x:v>0.0832648619655198</x:v>
      </x:c>
      <x:c r="L34" s="26" t="n">
        <x:v>0.0792704645500698</x:v>
      </x:c>
      <x:c r="M34" s="26" t="n">
        <x:v>99</x:v>
      </x:c>
      <x:c r="N34" s="26" t="n">
        <x:v>420</x:v>
      </x:c>
      <x:c r="O34" s="26" t="n">
        <x:v>0.0500761584094917</x:v>
      </x:c>
      <x:c r="P34" s="26" t="n">
        <x:v>0.32804537</x:v>
      </x:c>
      <x:c r="Q34" s="26" t="n">
        <x:v>0.0666345999679332</x:v>
      </x:c>
      <x:c r="R34" s="26" t="n">
        <x:v>0.0637846721180054</x:v>
      </x:c>
      <x:c r="S34" s="33" t="n">
        <x:v>0.0500761584094917</x:v>
      </x:c>
      <x:c r="T34" s="33" t="n">
        <x:v>0.32804537</x:v>
      </x:c>
      <x:c r="U34" s="26" t="n">
        <x:v>420</x:v>
      </x:c>
      <x:c r="V34" s="37" t="n">
        <x:v>0.8526315789473684</x:v>
      </x:c>
      <x:c r="W34" s="43" t="n">
        <x:v>3</x:v>
      </x:c>
    </x:row>
    <x:row r="35">
      <x:c r="A35" s="25" t="str">
        <x:v>989069</x:v>
      </x:c>
      <x:c r="B35" s="26" t="str">
        <x:v>MEAT-PCKGD</x:v>
      </x:c>
      <x:c r="C35" s="26" t="str">
        <x:v>Private</x:v>
      </x:c>
      <x:c r="D35" s="26" t="str">
        <x:v>BREAKFAST SAUSAGE/SANDWICHES</x:v>
      </x:c>
      <x:c r="E35" s="26" t="str">
        <x:v>LINKS - RAW</x:v>
      </x:c>
      <x:c r="F35" s="26" t="str">
        <x:v>12 OZ</x:v>
      </x:c>
      <x:c r="G35" s="26" t="n">
        <x:v>61</x:v>
      </x:c>
      <x:c r="H35" s="26" t="n">
        <x:v>349</x:v>
      </x:c>
      <x:c r="I35" s="26" t="n">
        <x:v>0.0680152698474781</x:v>
      </x:c>
      <x:c r="J35" s="26" t="n">
        <x:v>0.19131216</x:v>
      </x:c>
      <x:c r="K35" s="26" t="n">
        <x:v>0.1002993310129279</x:v>
      </x:c>
      <x:c r="L35" s="26" t="n">
        <x:v>0.0736324347462245</x:v>
      </x:c>
      <x:c r="M35" s="26" t="n">
        <x:v>75</x:v>
      </x:c>
      <x:c r="N35" s="26" t="n">
        <x:v>192</x:v>
      </x:c>
      <x:c r="O35" s="26" t="n">
        <x:v>0.0595555555555555</x:v>
      </x:c>
      <x:c r="P35" s="26" t="n">
        <x:v>0.14626889</x:v>
      </x:c>
      <x:c r="Q35" s="26" t="n">
        <x:v>0.0528888888888888</x:v>
      </x:c>
      <x:c r="R35" s="26" t="n">
        <x:v>0.0462222222222222</x:v>
      </x:c>
      <x:c r="S35" s="33" t="n">
        <x:v>0.0595555555555555</x:v>
      </x:c>
      <x:c r="T35" s="33" t="n">
        <x:v>0.14626889</x:v>
      </x:c>
      <x:c r="U35" s="26" t="n">
        <x:v>192</x:v>
      </x:c>
      <x:c r="V35" s="37" t="n">
        <x:v>0.736842105263158</x:v>
      </x:c>
      <x:c r="W35" s="43" t="n">
        <x:v>4</x:v>
      </x:c>
    </x:row>
    <x:row r="36">
      <x:c r="A36" s="25" t="str">
        <x:v>962185</x:v>
      </x:c>
      <x:c r="B36" s="26" t="str">
        <x:v>MEAT-PCKGD</x:v>
      </x:c>
      <x:c r="C36" s="26" t="str">
        <x:v>Private</x:v>
      </x:c>
      <x:c r="D36" s="26" t="str">
        <x:v>BREAKFAST SAUSAGE/SANDWICHES</x:v>
      </x:c>
      <x:c r="E36" s="26" t="str">
        <x:v>LINKS - RAW</x:v>
      </x:c>
      <x:c r="F36" s="26" t="str">
        <x:v>12 OZ</x:v>
      </x:c>
      <x:c r="G36" s="26" t="n">
        <x:v>57</x:v>
      </x:c>
      <x:c r="H36" s="26" t="n">
        <x:v>281</x:v>
      </x:c>
      <x:c r="I36" s="26" t="n">
        <x:v>0.0573928508139034</x:v>
      </x:c>
      <x:c r="J36" s="26" t="n">
        <x:v>0.15183412</x:v>
      </x:c>
      <x:c r="K36" s="26" t="n">
        <x:v>0.0866535024429761</x:v>
      </x:c>
      <x:c r="L36" s="26" t="n">
        <x:v>0.0642154628996734</x:v>
      </x:c>
      <x:c r="M36" s="26" t="n">
        <x:v>74</x:v>
      </x:c>
      <x:c r="N36" s="26" t="n">
        <x:v>173</x:v>
      </x:c>
      <x:c r="O36" s="26" t="n">
        <x:v>0.0807593307593307</x:v>
      </x:c>
      <x:c r="P36" s="26" t="n">
        <x:v>0.23158462</x:v>
      </x:c>
      <x:c r="Q36" s="26" t="n">
        <x:v>0.1261583011583011</x:v>
      </x:c>
      <x:c r="R36" s="26" t="n">
        <x:v>0.0894465894465894</x:v>
      </x:c>
      <x:c r="S36" s="33" t="n">
        <x:v>0.0573928508139034</x:v>
      </x:c>
      <x:c r="T36" s="33" t="n">
        <x:v>0.15183412</x:v>
      </x:c>
      <x:c r="U36" s="26" t="n">
        <x:v>173</x:v>
      </x:c>
      <x:c r="V36" s="37" t="n">
        <x:v>0.7263157894736842</x:v>
      </x:c>
      <x:c r="W36" s="43" t="n">
        <x:v>5</x:v>
      </x:c>
    </x:row>
    <x:row r="37">
      <x:c r="A37" s="25" t="str">
        <x:v>8291322</x:v>
      </x:c>
      <x:c r="B37" s="26" t="str">
        <x:v>MEAT-PCKGD</x:v>
      </x:c>
      <x:c r="C37" s="26" t="str">
        <x:v>National</x:v>
      </x:c>
      <x:c r="D37" s="26" t="str">
        <x:v>BREAKFAST SAUSAGE/SANDWICHES</x:v>
      </x:c>
      <x:c r="E37" s="26" t="str">
        <x:v>ROLLS - PORK</x:v>
      </x:c>
      <x:c r="F37" s="26" t="str">
        <x:v>16 OZ</x:v>
      </x:c>
      <x:c r="G37" s="26" t="n">
        <x:v>67</x:v>
      </x:c>
      <x:c r="H37" s="26" t="n">
        <x:v>195</x:v>
      </x:c>
      <x:c r="I37" s="26" t="n">
        <x:v>0.0790156361051883</x:v>
      </x:c>
      <x:c r="J37" s="26" t="n">
        <x:v>0.34164777</x:v>
      </x:c>
      <x:c r="K37" s="26" t="n">
        <x:v>0.1569770196635868</x:v>
      </x:c>
      <x:c r="L37" s="26" t="n">
        <x:v>0.0864783226723525</x:v>
      </x:c>
      <x:c r="M37" s="26" t="n">
        <x:v>105</x:v>
      </x:c>
      <x:c r="N37" s="26" t="n">
        <x:v>354</x:v>
      </x:c>
      <x:c r="O37" s="26" t="n">
        <x:v>0.0424489795918367</x:v>
      </x:c>
      <x:c r="P37" s="26" t="n">
        <x:v>0.18478732</x:v>
      </x:c>
      <x:c r="Q37" s="26" t="n">
        <x:v>0.0998185941043083</x:v>
      </x:c>
      <x:c r="R37" s="26" t="n">
        <x:v>0.0600680272108843</x:v>
      </x:c>
      <x:c r="S37" s="33" t="n">
        <x:v>0.0424489795918367</x:v>
      </x:c>
      <x:c r="T37" s="33" t="n">
        <x:v>0.18478732</x:v>
      </x:c>
      <x:c r="U37" s="26" t="n">
        <x:v>195</x:v>
      </x:c>
      <x:c r="V37" s="37" t="n">
        <x:v>0.6842105263157894</x:v>
      </x:c>
      <x:c r="W37" s="43" t="n">
        <x:v>6</x:v>
      </x:c>
    </x:row>
    <x:row r="38">
      <x:c r="A38" s="25" t="str">
        <x:v>12781558</x:v>
      </x:c>
      <x:c r="B38" s="26" t="str">
        <x:v>MEAT-PCKGD</x:v>
      </x:c>
      <x:c r="C38" s="26" t="str">
        <x:v>Private</x:v>
      </x:c>
      <x:c r="D38" s="26" t="str">
        <x:v>BREAKFAST SAUSAGE/SANDWICHES</x:v>
      </x:c>
      <x:c r="E38" s="26" t="str">
        <x:v>LINKS - RAW</x:v>
      </x:c>
      <x:c r="F38" s="26" t="str">
        <x:v>12 OZ</x:v>
      </x:c>
      <x:c r="G38" s="26" t="n">
        <x:v>19</x:v>
      </x:c>
      <x:c r="H38" s="26" t="n">
        <x:v>38</x:v>
      </x:c>
      <x:c r="I38" s="26" t="n">
        <x:v>0.0592105263157894</x:v>
      </x:c>
      <x:c r="J38" s="26" t="n">
        <x:v>0.27631578</x:v>
      </x:c>
      <x:c r="K38" s="26" t="n">
        <x:v>0.1118421052631579</x:v>
      </x:c>
      <x:c r="L38" s="26" t="n">
        <x:v>0.0592105263157894</x:v>
      </x:c>
      <x:c r="M38" s="26" t="n">
        <x:v>19</x:v>
      </x:c>
      <x:c r="N38" s="26" t="n">
        <x:v>21</x:v>
      </x:c>
      <x:c r="O38" s="26" t="n">
        <x:v>0.0526315789473684</x:v>
      </x:c>
      <x:c r="P38" s="26" t="n">
        <x:v>0.21052632</x:v>
      </x:c>
      <x:c r="Q38" s="26" t="n">
        <x:v>0.1052631578947368</x:v>
      </x:c>
      <x:c r="R38" s="26" t="n">
        <x:v>0.0526315789473684</x:v>
      </x:c>
      <x:c r="S38" s="33" t="n">
        <x:v>0.0526315789473684</x:v>
      </x:c>
      <x:c r="T38" s="33" t="n">
        <x:v>0.21052632</x:v>
      </x:c>
      <x:c r="U38" s="26" t="n">
        <x:v>21</x:v>
      </x:c>
      <x:c r="V38" s="37" t="n">
        <x:v>0.6421052631578948</x:v>
      </x:c>
      <x:c r="W38" s="43" t="n">
        <x:v>7</x:v>
      </x:c>
    </x:row>
    <x:row r="39">
      <x:c r="A39" s="25" t="str">
        <x:v>978077</x:v>
      </x:c>
      <x:c r="B39" s="26" t="str">
        <x:v>MEAT-PCKGD</x:v>
      </x:c>
      <x:c r="C39" s="26" t="str">
        <x:v>Private</x:v>
      </x:c>
      <x:c r="D39" s="26" t="str">
        <x:v>BREAKFAST SAUSAGE/SANDWICHES</x:v>
      </x:c>
      <x:c r="E39" s="26" t="str">
        <x:v>ROLLS - PORK</x:v>
      </x:c>
      <x:c r="F39" s="26" t="str">
        <x:v>16 OZ</x:v>
      </x:c>
      <x:c r="G39" s="26" t="n">
        <x:v>75</x:v>
      </x:c>
      <x:c r="H39" s="26" t="n">
        <x:v>178</x:v>
      </x:c>
      <x:c r="I39" s="26" t="n">
        <x:v>0.1477777777777777</x:v>
      </x:c>
      <x:c r="J39" s="26" t="n">
        <x:v>0.4927225</x:v>
      </x:c>
      <x:c r="K39" s="26" t="n">
        <x:v>0.3005714285714286</x:v>
      </x:c>
      <x:c r="L39" s="26" t="n">
        <x:v>0.1882222222222222</x:v>
      </x:c>
      <x:c r="M39" s="26" t="n">
        <x:v>50</x:v>
      </x:c>
      <x:c r="N39" s="26" t="n">
        <x:v>71</x:v>
      </x:c>
      <x:c r="O39" s="26" t="n">
        <x:v>0.03</x:v>
      </x:c>
      <x:c r="P39" s="26" t="n">
        <x:v>0.2237</x:v>
      </x:c>
      <x:c r="Q39" s="26" t="n">
        <x:v>0.1033333333333333</x:v>
      </x:c>
      <x:c r="R39" s="26" t="n">
        <x:v>0.07</x:v>
      </x:c>
      <x:c r="S39" s="33" t="n">
        <x:v>0.03</x:v>
      </x:c>
      <x:c r="T39" s="33" t="n">
        <x:v>0.2237</x:v>
      </x:c>
      <x:c r="U39" s="26" t="n">
        <x:v>71</x:v>
      </x:c>
      <x:c r="V39" s="37" t="n">
        <x:v>0.5789473684210527</x:v>
      </x:c>
      <x:c r="W39" s="43" t="n">
        <x:v>8</x:v>
      </x:c>
    </x:row>
    <x:row r="40">
      <x:c r="A40" s="25" t="str">
        <x:v>1050482</x:v>
      </x:c>
      <x:c r="B40" s="26" t="str">
        <x:v>MEAT-PCKGD</x:v>
      </x:c>
      <x:c r="C40" s="26" t="str">
        <x:v>National</x:v>
      </x:c>
      <x:c r="D40" s="26" t="str">
        <x:v>BREAKFAST SAUSAGE/SANDWICHES</x:v>
      </x:c>
      <x:c r="E40" s="26" t="str">
        <x:v>LINKS - RAW</x:v>
      </x:c>
      <x:c r="F40" s="26" t="str">
        <x:v>12 OZ</x:v>
      </x:c>
      <x:c r="G40" s="26" t="n">
        <x:v>59</x:v>
      </x:c>
      <x:c r="H40" s="26" t="n">
        <x:v>124</x:v>
      </x:c>
      <x:c r="I40" s="26" t="n">
        <x:v>0.0434221146085552</x:v>
      </x:c>
      <x:c r="J40" s="26" t="n">
        <x:v>0.13310249</x:v>
      </x:c>
      <x:c r="K40" s="26" t="n">
        <x:v>0.0284907183212267</x:v>
      </x:c>
      <x:c r="L40" s="26" t="n">
        <x:v>0.0264729620661824</x:v>
      </x:c>
      <x:c r="M40" s="26" t="n">
        <x:v>71</x:v>
      </x:c>
      <x:c r="N40" s="26" t="n">
        <x:v>114</x:v>
      </x:c>
      <x:c r="O40" s="26" t="n">
        <x:v>0.1173708920187793</x:v>
      </x:c>
      <x:c r="P40" s="26" t="n">
        <x:v>0.47241786</x:v>
      </x:c>
      <x:c r="Q40" s="26" t="n">
        <x:v>0.1889671361502347</x:v>
      </x:c>
      <x:c r="R40" s="26" t="n">
        <x:v>0.1185446009389671</x:v>
      </x:c>
      <x:c r="S40" s="33" t="n">
        <x:v>0.0434221146085552</x:v>
      </x:c>
      <x:c r="T40" s="33" t="n">
        <x:v>0.13310249</x:v>
      </x:c>
      <x:c r="U40" s="26" t="n">
        <x:v>114</x:v>
      </x:c>
      <x:c r="V40" s="37" t="n">
        <x:v>0.5789473684210527</x:v>
      </x:c>
      <x:c r="W40" s="43" t="n">
        <x:v>9</x:v>
      </x:c>
    </x:row>
    <x:row r="41">
      <x:c r="A41" s="25" t="str">
        <x:v>1130858</x:v>
      </x:c>
      <x:c r="B41" s="26" t="str">
        <x:v>MEAT-PCKGD</x:v>
      </x:c>
      <x:c r="C41" s="26" t="str">
        <x:v>National</x:v>
      </x:c>
      <x:c r="D41" s="26" t="str">
        <x:v>BREAKFAST SAUSAGE/SANDWICHES</x:v>
      </x:c>
      <x:c r="E41" s="26" t="str">
        <x:v>ROLLS - PORK</x:v>
      </x:c>
      <x:c r="F41" s="26" t="str">
        <x:v>1 LB</x:v>
      </x:c>
      <x:c r="G41" s="26" t="n">
        <x:v>72</x:v>
      </x:c>
      <x:c r="H41" s="26" t="n">
        <x:v>359</x:v>
      </x:c>
      <x:c r="I41" s="26" t="n">
        <x:v>0.0802995230078563</x:v>
      </x:c>
      <x:c r="J41" s="26" t="n">
        <x:v>0.22634278</x:v>
      </x:c>
      <x:c r="K41" s="26" t="n">
        <x:v>0.1137831689915023</x:v>
      </x:c>
      <x:c r="L41" s="26" t="n">
        <x:v>0.0931362233445566</x:v>
      </x:c>
      <x:c r="M41" s="26" t="n">
        <x:v>110</x:v>
      </x:c>
      <x:c r="N41" s="26" t="n">
        <x:v>798</x:v>
      </x:c>
      <x:c r="O41" s="26" t="n">
        <x:v>0.018091958546504</x:v>
      </x:c>
      <x:c r="P41" s="26" t="n">
        <x:v>0.12138663</x:v>
      </x:c>
      <x:c r="Q41" s="26" t="n">
        <x:v>0.0664584153220516</x:v>
      </x:c>
      <x:c r="R41" s="26" t="n">
        <x:v>0.0334169618260527</x:v>
      </x:c>
      <x:c r="S41" s="33" t="n">
        <x:v>0.018091958546504</x:v>
      </x:c>
      <x:c r="T41" s="33" t="n">
        <x:v>0.12138663</x:v>
      </x:c>
      <x:c r="U41" s="26" t="n">
        <x:v>359</x:v>
      </x:c>
      <x:c r="V41" s="37" t="n">
        <x:v>0.4842105263157894</x:v>
      </x:c>
      <x:c r="W41" s="43" t="n">
        <x:v>10</x:v>
      </x:c>
    </x:row>
    <x:row r="42">
      <x:c r="A42" s="25" t="str">
        <x:v>1131438</x:v>
      </x:c>
      <x:c r="B42" s="26" t="str">
        <x:v>MEAT-PCKGD</x:v>
      </x:c>
      <x:c r="C42" s="26" t="str">
        <x:v>National</x:v>
      </x:c>
      <x:c r="D42" s="26" t="str">
        <x:v>DINNER SAUSAGE</x:v>
      </x:c>
      <x:c r="E42" s="26" t="str">
        <x:v>RED</x:v>
      </x:c>
      <x:c r="F42" s="26" t="str">
        <x:v>1 LB</x:v>
      </x:c>
      <x:c r="G42" s="26" t="n">
        <x:v>80</x:v>
      </x:c>
      <x:c r="H42" s="26" t="n">
        <x:v>500</x:v>
      </x:c>
      <x:c r="I42" s="26" t="n">
        <x:v>0.0793476835664335</x:v>
      </x:c>
      <x:c r="J42" s="26" t="n">
        <x:v>0.3255946</x:v>
      </x:c>
      <x:c r="K42" s="26" t="n">
        <x:v>0.1856897963147963</x:v>
      </x:c>
      <x:c r="L42" s="26" t="n">
        <x:v>0.0995276598401598</x:v>
      </x:c>
      <x:c r="M42" s="26" t="n">
        <x:v>107</x:v>
      </x:c>
      <x:c r="N42" s="26" t="n">
        <x:v>827</x:v>
      </x:c>
      <x:c r="O42" s="26" t="n">
        <x:v>0.0611082842391253</x:v>
      </x:c>
      <x:c r="P42" s="26" t="n">
        <x:v>0.31228504</x:v>
      </x:c>
      <x:c r="Q42" s="26" t="n">
        <x:v>0.1367374058962844</x:v>
      </x:c>
      <x:c r="R42" s="26" t="n">
        <x:v>0.0896658896658896</x:v>
      </x:c>
      <x:c r="S42" s="33" t="n">
        <x:v>0.0611082842391253</x:v>
      </x:c>
      <x:c r="T42" s="33" t="n">
        <x:v>0.31228504</x:v>
      </x:c>
      <x:c r="U42" s="26" t="n">
        <x:v>500</x:v>
      </x:c>
      <x:c r="V42" s="37" t="n">
        <x:v>0.9941176470588236</x:v>
      </x:c>
      <x:c r="W42" s="43" t="n">
        <x:v>1</x:v>
      </x:c>
    </x:row>
    <x:row r="43">
      <x:c r="A43" s="25" t="str">
        <x:v>895295</x:v>
      </x:c>
      <x:c r="B43" s="26" t="str">
        <x:v>MEAT-PCKGD</x:v>
      </x:c>
      <x:c r="C43" s="26" t="str">
        <x:v>National</x:v>
      </x:c>
      <x:c r="D43" s="26" t="str">
        <x:v>DINNER SAUSAGE</x:v>
      </x:c>
      <x:c r="E43" s="26" t="str">
        <x:v>SMOKED/COOKED</x:v>
      </x:c>
      <x:c r="F43" s="26" t="str">
        <x:v>1 LB</x:v>
      </x:c>
      <x:c r="G43" s="26" t="n">
        <x:v>39</x:v>
      </x:c>
      <x:c r="H43" s="26" t="n">
        <x:v>94</x:v>
      </x:c>
      <x:c r="I43" s="26" t="n">
        <x:v>0.2094017094017093</x:v>
      </x:c>
      <x:c r="J43" s="26" t="n">
        <x:v>0.7014652</x:v>
      </x:c>
      <x:c r="K43" s="26" t="n">
        <x:v>0.2619047619047618</x:v>
      </x:c>
      <x:c r="L43" s="26" t="n">
        <x:v>0.2313797313797314</x:v>
      </x:c>
      <x:c r="M43" s="26" t="n">
        <x:v>94</x:v>
      </x:c>
      <x:c r="N43" s="26" t="n">
        <x:v>379</x:v>
      </x:c>
      <x:c r="O43" s="26" t="n">
        <x:v>0.0528368794326241</x:v>
      </x:c>
      <x:c r="P43" s="26" t="n">
        <x:v>0.21119554</x:v>
      </x:c>
      <x:c r="Q43" s="26" t="n">
        <x:v>0.0782294832826747</x:v>
      </x:c>
      <x:c r="R43" s="26" t="n">
        <x:v>0.058257345491388</x:v>
      </x:c>
      <x:c r="S43" s="33" t="n">
        <x:v>0.0528368794326241</x:v>
      </x:c>
      <x:c r="T43" s="33" t="n">
        <x:v>0.21119554</x:v>
      </x:c>
      <x:c r="U43" s="26" t="n">
        <x:v>94</x:v>
      </x:c>
      <x:c r="V43" s="37" t="n">
        <x:v>0.8441176470588234</x:v>
      </x:c>
      <x:c r="W43" s="43" t="n">
        <x:v>2</x:v>
      </x:c>
    </x:row>
    <x:row r="44">
      <x:c r="A44" s="25" t="str">
        <x:v>850139</x:v>
      </x:c>
      <x:c r="B44" s="26" t="str">
        <x:v>MEAT-PCKGD</x:v>
      </x:c>
      <x:c r="C44" s="26" t="str">
        <x:v>Private</x:v>
      </x:c>
      <x:c r="D44" s="26" t="str">
        <x:v>DINNER SAUSAGE</x:v>
      </x:c>
      <x:c r="E44" s="26" t="str">
        <x:v>SMOKED/COOKED</x:v>
      </x:c>
      <x:c r="F44" s="26" t="str">
        <x:v>16 OZ</x:v>
      </x:c>
      <x:c r="G44" s="26" t="n">
        <x:v>46</x:v>
      </x:c>
      <x:c r="H44" s="26" t="n">
        <x:v>104</x:v>
      </x:c>
      <x:c r="I44" s="26" t="n">
        <x:v>0.0477743271221532</x:v>
      </x:c>
      <x:c r="J44" s="26" t="n">
        <x:v>0.20584574</x:v>
      </x:c>
      <x:c r="K44" s="26" t="n">
        <x:v>0.0885093167701863</x:v>
      </x:c>
      <x:c r="L44" s="26" t="n">
        <x:v>0.0571946169772256</x:v>
      </x:c>
      <x:c r="M44" s="26" t="n">
        <x:v>94</x:v>
      </x:c>
      <x:c r="N44" s="26" t="n">
        <x:v>183</x:v>
      </x:c>
      <x:c r="O44" s="26" t="n">
        <x:v>0.0687943262411347</x:v>
      </x:c>
      <x:c r="P44" s="26" t="n">
        <x:v>0.28062057</x:v>
      </x:c>
      <x:c r="Q44" s="26" t="n">
        <x:v>0.1535460992907801</x:v>
      </x:c>
      <x:c r="R44" s="26" t="n">
        <x:v>0.0953900709219858</x:v>
      </x:c>
      <x:c r="S44" s="33" t="n">
        <x:v>0.0477743271221532</x:v>
      </x:c>
      <x:c r="T44" s="33" t="n">
        <x:v>0.20584574</x:v>
      </x:c>
      <x:c r="U44" s="26" t="n">
        <x:v>104</x:v>
      </x:c>
      <x:c r="V44" s="37" t="n">
        <x:v>0.823529411764706</x:v>
      </x:c>
      <x:c r="W44" s="43" t="n">
        <x:v>3</x:v>
      </x:c>
    </x:row>
    <x:row r="45">
      <x:c r="A45" s="25" t="str">
        <x:v>16733215</x:v>
      </x:c>
      <x:c r="B45" s="26" t="str">
        <x:v>MEAT-PCKGD</x:v>
      </x:c>
      <x:c r="C45" s="26" t="str">
        <x:v>National</x:v>
      </x:c>
      <x:c r="D45" s="26" t="str">
        <x:v>DINNER SAUSAGE</x:v>
      </x:c>
      <x:c r="E45" s="26" t="str">
        <x:v>COCKTAILS</x:v>
      </x:c>
      <x:c r="F45" s="26" t="str">
        <x:v>14 OZ</x:v>
      </x:c>
      <x:c r="G45" s="26" t="n">
        <x:v>43</x:v>
      </x:c>
      <x:c r="H45" s="26" t="n">
        <x:v>82</x:v>
      </x:c>
      <x:c r="I45" s="26" t="n">
        <x:v>0.1124031007751937</x:v>
      </x:c>
      <x:c r="J45" s="26" t="n">
        <x:v>0.37893412</x:v>
      </x:c>
      <x:c r="K45" s="26" t="n">
        <x:v>0.1879844961240309</x:v>
      </x:c>
      <x:c r="L45" s="26" t="n">
        <x:v>0.1124031007751937</x:v>
      </x:c>
      <x:c r="M45" s="26" t="n">
        <x:v>58</x:v>
      </x:c>
      <x:c r="N45" s="26" t="n">
        <x:v>78</x:v>
      </x:c>
      <x:c r="O45" s="26" t="n">
        <x:v>0.043103448275862</x:v>
      </x:c>
      <x:c r="P45" s="26" t="n">
        <x:v>0.22051725</x:v>
      </x:c>
      <x:c r="Q45" s="26" t="n">
        <x:v>0.1120689655172413</x:v>
      </x:c>
      <x:c r="R45" s="26" t="n">
        <x:v>0.0517241379310344</x:v>
      </x:c>
      <x:c r="S45" s="33" t="n">
        <x:v>0.043103448275862</x:v>
      </x:c>
      <x:c r="T45" s="33" t="n">
        <x:v>0.22051725</x:v>
      </x:c>
      <x:c r="U45" s="26" t="n">
        <x:v>78</x:v>
      </x:c>
      <x:c r="V45" s="37" t="n">
        <x:v>0.7941176470588236</x:v>
      </x:c>
      <x:c r="W45" s="43" t="n">
        <x:v>4</x:v>
      </x:c>
    </x:row>
    <x:row r="46">
      <x:c r="A46" s="25" t="str">
        <x:v>1131344</x:v>
      </x:c>
      <x:c r="B46" s="26" t="str">
        <x:v>MEAT-PCKGD</x:v>
      </x:c>
      <x:c r="C46" s="26" t="str">
        <x:v>National</x:v>
      </x:c>
      <x:c r="D46" s="26" t="str">
        <x:v>DINNER SAUSAGE</x:v>
      </x:c>
      <x:c r="E46" s="26" t="str">
        <x:v>SMOKED/COOKED</x:v>
      </x:c>
      <x:c r="F46" s="26" t="str">
        <x:v>16 OZ</x:v>
      </x:c>
      <x:c r="G46" s="26" t="n">
        <x:v>82</x:v>
      </x:c>
      <x:c r="H46" s="26" t="n">
        <x:v>465</x:v>
      </x:c>
      <x:c r="I46" s="26" t="n">
        <x:v>0.0244734939856891</x:v>
      </x:c>
      <x:c r="J46" s="26" t="n">
        <x:v>0.107009724</x:v>
      </x:c>
      <x:c r="K46" s="26" t="n">
        <x:v>0.0603305569768984</x:v>
      </x:c>
      <x:c r="L46" s="26" t="n">
        <x:v>0.0430707503878235</x:v>
      </x:c>
      <x:c r="M46" s="26" t="n">
        <x:v>106</x:v>
      </x:c>
      <x:c r="N46" s="26" t="n">
        <x:v>528</x:v>
      </x:c>
      <x:c r="O46" s="26" t="n">
        <x:v>0.0253474774701189</x:v>
      </x:c>
      <x:c r="P46" s="26" t="n">
        <x:v>0.07309066</x:v>
      </x:c>
      <x:c r="Q46" s="26" t="n">
        <x:v>0.04522958697487</x:v>
      </x:c>
      <x:c r="R46" s="26" t="n">
        <x:v>0.0363649976857524</x:v>
      </x:c>
      <x:c r="S46" s="33" t="n">
        <x:v>0.0244734939856891</x:v>
      </x:c>
      <x:c r="T46" s="33" t="n">
        <x:v>0.07309066</x:v>
      </x:c>
      <x:c r="U46" s="26" t="n">
        <x:v>465</x:v>
      </x:c>
      <x:c r="V46" s="37" t="n">
        <x:v>0.7529411764705883</x:v>
      </x:c>
      <x:c r="W46" s="43" t="n">
        <x:v>5</x:v>
      </x:c>
    </x:row>
    <x:row r="47">
      <x:c r="A47" s="25" t="str">
        <x:v>16733960</x:v>
      </x:c>
      <x:c r="B47" s="26" t="str">
        <x:v>MEAT-PCKGD</x:v>
      </x:c>
      <x:c r="C47" s="26" t="str">
        <x:v>National</x:v>
      </x:c>
      <x:c r="D47" s="26" t="str">
        <x:v>DINNER SAUSAGE</x:v>
      </x:c>
      <x:c r="E47" s="26" t="str">
        <x:v>COCKTAILS</x:v>
      </x:c>
      <x:c r="F47" s="26" t="str">
        <x:v>14 OZ</x:v>
      </x:c>
      <x:c r="G47" s="26" t="n">
        <x:v>36</x:v>
      </x:c>
      <x:c r="H47" s="26" t="n">
        <x:v>62</x:v>
      </x:c>
      <x:c r="I47" s="26" t="n">
        <x:v>0.0416666666666666</x:v>
      </x:c>
      <x:c r="J47" s="26" t="n">
        <x:v>0.16666667</x:v>
      </x:c>
      <x:c r="K47" s="26" t="n">
        <x:v>0.0833333333333333</x:v>
      </x:c>
      <x:c r="L47" s="26" t="n">
        <x:v>0.0416666666666666</x:v>
      </x:c>
      <x:c r="M47" s="26" t="n">
        <x:v>41</x:v>
      </x:c>
      <x:c r="N47" s="26" t="n">
        <x:v>51</x:v>
      </x:c>
      <x:c r="O47" s="26" t="n">
        <x:v>0.048780487804878</x:v>
      </x:c>
      <x:c r="P47" s="26" t="n">
        <x:v>0.19353658</x:v>
      </x:c>
      <x:c r="Q47" s="26" t="n">
        <x:v>0.0853658536585365</x:v>
      </x:c>
      <x:c r="R47" s="26" t="n">
        <x:v>0.048780487804878</x:v>
      </x:c>
      <x:c r="S47" s="33" t="n">
        <x:v>0.0416666666666666</x:v>
      </x:c>
      <x:c r="T47" s="33" t="n">
        <x:v>0.16666667</x:v>
      </x:c>
      <x:c r="U47" s="26" t="n">
        <x:v>51</x:v>
      </x:c>
      <x:c r="V47" s="37" t="n">
        <x:v>0.7205882352941176</x:v>
      </x:c>
      <x:c r="W47" s="43" t="n">
        <x:v>6</x:v>
      </x:c>
    </x:row>
    <x:row r="48">
      <x:c r="A48" s="25" t="str">
        <x:v>15778440</x:v>
      </x:c>
      <x:c r="B48" s="26" t="str">
        <x:v>MEAT-PCKGD</x:v>
      </x:c>
      <x:c r="C48" s="26" t="str">
        <x:v>National</x:v>
      </x:c>
      <x:c r="D48" s="26" t="str">
        <x:v>DINNER SAUSAGE</x:v>
      </x:c>
      <x:c r="E48" s="26" t="str">
        <x:v>FRESH</x:v>
      </x:c>
      <x:c r="F48" s="26" t="str">
        <x:v>1 LB</x:v>
      </x:c>
      <x:c r="G48" s="26" t="n">
        <x:v>23</x:v>
      </x:c>
      <x:c r="H48" s="26" t="n">
        <x:v>43</x:v>
      </x:c>
      <x:c r="I48" s="26" t="n">
        <x:v>0.036231884057971</x:v>
      </x:c>
      <x:c r="J48" s="26" t="n">
        <x:v>0.12963767</x:v>
      </x:c>
      <x:c r="K48" s="26" t="n">
        <x:v>0.0507246376811594</x:v>
      </x:c>
      <x:c r="L48" s="26" t="n">
        <x:v>0.036231884057971</x:v>
      </x:c>
      <x:c r="M48" s="26" t="n">
        <x:v>28</x:v>
      </x:c>
      <x:c r="N48" s="26" t="n">
        <x:v>33</x:v>
      </x:c>
      <x:c r="O48" s="26" t="n">
        <x:v>0.0892857142857142</x:v>
      </x:c>
      <x:c r="P48" s="26" t="n">
        <x:v>0.2669643</x:v>
      </x:c>
      <x:c r="Q48" s="26" t="n">
        <x:v>0.0892857142857142</x:v>
      </x:c>
      <x:c r="R48" s="26" t="n">
        <x:v>0.0892857142857142</x:v>
      </x:c>
      <x:c r="S48" s="33" t="n">
        <x:v>0.036231884057971</x:v>
      </x:c>
      <x:c r="T48" s="33" t="n">
        <x:v>0.12963767</x:v>
      </x:c>
      <x:c r="U48" s="26" t="n">
        <x:v>33</x:v>
      </x:c>
      <x:c r="V48" s="37" t="n">
        <x:v>0.6764705882352942</x:v>
      </x:c>
      <x:c r="W48" s="43" t="n">
        <x:v>7</x:v>
      </x:c>
    </x:row>
    <x:row r="49">
      <x:c r="A49" s="25" t="str">
        <x:v>882190</x:v>
      </x:c>
      <x:c r="B49" s="26" t="str">
        <x:v>MEAT-PCKGD</x:v>
      </x:c>
      <x:c r="C49" s="26" t="str">
        <x:v>National</x:v>
      </x:c>
      <x:c r="D49" s="26" t="str">
        <x:v>DINNER SAUSAGE</x:v>
      </x:c>
      <x:c r="E49" s="26" t="str">
        <x:v>SMOKED/COOKED</x:v>
      </x:c>
      <x:c r="F49" s="26" t="str">
        <x:v>1 LB</x:v>
      </x:c>
      <x:c r="G49" s="26" t="n">
        <x:v>28</x:v>
      </x:c>
      <x:c r="H49" s="26" t="n">
        <x:v>72</x:v>
      </x:c>
      <x:c r="I49" s="26" t="n">
        <x:v>0.0259353741496598</x:v>
      </x:c>
      <x:c r="J49" s="26" t="n">
        <x:v>0.08970664</x:v>
      </x:c>
      <x:c r="K49" s="26" t="n">
        <x:v>0.0378401360544217</x:v>
      </x:c>
      <x:c r="L49" s="26" t="n">
        <x:v>0.0259353741496598</x:v>
      </x:c>
      <x:c r="M49" s="26" t="n">
        <x:v>66</x:v>
      </x:c>
      <x:c r="N49" s="26" t="n">
        <x:v>150</x:v>
      </x:c>
      <x:c r="O49" s="26" t="n">
        <x:v>0.041053391053391</x:v>
      </x:c>
      <x:c r="P49" s="26" t="n">
        <x:v>0.16048919</x:v>
      </x:c>
      <x:c r="Q49" s="26" t="n">
        <x:v>0.0836219336219336</x:v>
      </x:c>
      <x:c r="R49" s="26" t="n">
        <x:v>0.0486291486291486</x:v>
      </x:c>
      <x:c r="S49" s="33" t="n">
        <x:v>0.0259353741496598</x:v>
      </x:c>
      <x:c r="T49" s="33" t="n">
        <x:v>0.08970664</x:v>
      </x:c>
      <x:c r="U49" s="26" t="n">
        <x:v>72</x:v>
      </x:c>
      <x:c r="V49" s="37" t="n">
        <x:v>0.6705882352941177</x:v>
      </x:c>
      <x:c r="W49" s="43" t="n">
        <x:v>8</x:v>
      </x:c>
    </x:row>
    <x:row r="50">
      <x:c r="A50" s="25" t="str">
        <x:v>1095700</x:v>
      </x:c>
      <x:c r="B50" s="26" t="str">
        <x:v>MEAT-PCKGD</x:v>
      </x:c>
      <x:c r="C50" s="26" t="str">
        <x:v>National</x:v>
      </x:c>
      <x:c r="D50" s="26" t="str">
        <x:v>DINNER SAUSAGE</x:v>
      </x:c>
      <x:c r="E50" s="26" t="str">
        <x:v>SMOKED/COOKED</x:v>
      </x:c>
      <x:c r="F50" s="26" t="str">
        <x:v>14 OZ</x:v>
      </x:c>
      <x:c r="G50" s="26" t="n">
        <x:v>73</x:v>
      </x:c>
      <x:c r="H50" s="26" t="n">
        <x:v>275</x:v>
      </x:c>
      <x:c r="I50" s="26" t="n">
        <x:v>0.048083982451428</x:v>
      </x:c>
      <x:c r="J50" s="26" t="n">
        <x:v>0.038354177</x:v>
      </x:c>
      <x:c r="K50" s="26" t="n">
        <x:v>0.0495261118145888</x:v>
      </x:c>
      <x:c r="L50" s="26" t="n">
        <x:v>0.0507747847997646</x:v>
      </x:c>
      <x:c r="M50" s="26" t="n">
        <x:v>102</x:v>
      </x:c>
      <x:c r="N50" s="26" t="n">
        <x:v>425</x:v>
      </x:c>
      <x:c r="O50" s="26" t="n">
        <x:v>0.0529178338001867</x:v>
      </x:c>
      <x:c r="P50" s="26" t="n">
        <x:v>0.08748997</x:v>
      </x:c>
      <x:c r="Q50" s="26" t="n">
        <x:v>0.095985060690943</x:v>
      </x:c>
      <x:c r="R50" s="26" t="n">
        <x:v>0.0700513538748832</x:v>
      </x:c>
      <x:c r="S50" s="33" t="n">
        <x:v>0.048083982451428</x:v>
      </x:c>
      <x:c r="T50" s="33" t="n">
        <x:v>0.038354177</x:v>
      </x:c>
      <x:c r="U50" s="26" t="n">
        <x:v>275</x:v>
      </x:c>
      <x:c r="V50" s="37" t="n">
        <x:v>0.6705882352941176</x:v>
      </x:c>
      <x:c r="W50" s="43" t="n">
        <x:v>9</x:v>
      </x:c>
    </x:row>
    <x:row r="51">
      <x:c r="A51" s="25" t="str">
        <x:v>1061732</x:v>
      </x:c>
      <x:c r="B51" s="26" t="str">
        <x:v>MEAT-PCKGD</x:v>
      </x:c>
      <x:c r="C51" s="26" t="str">
        <x:v>National</x:v>
      </x:c>
      <x:c r="D51" s="26" t="str">
        <x:v>DINNER SAUSAGE</x:v>
      </x:c>
      <x:c r="E51" s="26" t="str">
        <x:v>SMOKED/COOKED</x:v>
      </x:c>
      <x:c r="F51" s="26" t="str">
        <x:v>14 OZ</x:v>
      </x:c>
      <x:c r="G51" s="26" t="n">
        <x:v>54</x:v>
      </x:c>
      <x:c r="H51" s="26" t="n">
        <x:v>144</x:v>
      </x:c>
      <x:c r="I51" s="26" t="n">
        <x:v>0.0259259259259259</x:v>
      </x:c>
      <x:c r="J51" s="26" t="n">
        <x:v>0.06662963</x:v>
      </x:c>
      <x:c r="K51" s="26" t="n">
        <x:v>0.0259259259259259</x:v>
      </x:c>
      <x:c r="L51" s="26" t="n">
        <x:v>0.0259259259259259</x:v>
      </x:c>
      <x:c r="M51" s="26" t="n">
        <x:v>78</x:v>
      </x:c>
      <x:c r="N51" s="26" t="n">
        <x:v>287</x:v>
      </x:c>
      <x:c r="O51" s="26" t="n">
        <x:v>0.0289682539682539</x:v>
      </x:c>
      <x:c r="P51" s="26" t="n">
        <x:v>0.06917278</x:v>
      </x:c>
      <x:c r="Q51" s="26" t="n">
        <x:v>0.0268315018315018</x:v>
      </x:c>
      <x:c r="R51" s="26" t="n">
        <x:v>0.0289682539682539</x:v>
      </x:c>
      <x:c r="S51" s="33" t="n">
        <x:v>0.0259259259259259</x:v>
      </x:c>
      <x:c r="T51" s="33" t="n">
        <x:v>0.06662963</x:v>
      </x:c>
      <x:c r="U51" s="26" t="n">
        <x:v>144</x:v>
      </x:c>
      <x:c r="V51" s="37" t="n">
        <x:v>0.6647058823529413</x:v>
      </x:c>
      <x:c r="W51" s="43" t="n">
        <x:v>10</x:v>
      </x:c>
    </x:row>
    <x:row r="52">
      <x:c r="A52" s="25" t="str">
        <x:v>1092937</x:v>
      </x:c>
      <x:c r="B52" s="26" t="str">
        <x:v>MEAT-PCKGD</x:v>
      </x:c>
      <x:c r="C52" s="26" t="str">
        <x:v>National</x:v>
      </x:c>
      <x:c r="D52" s="26" t="str">
        <x:v>LUNCHMEAT</x:v>
      </x:c>
      <x:c r="E52" s="26" t="str">
        <x:v>BOLOGNA</x:v>
      </x:c>
      <x:c r="F52" s="26" t="str">
        <x:v>16OZ</x:v>
      </x:c>
      <x:c r="G52" s="26" t="n">
        <x:v>47</x:v>
      </x:c>
      <x:c r="H52" s="26" t="n">
        <x:v>120</x:v>
      </x:c>
      <x:c r="I52" s="26" t="n">
        <x:v>0.1146740965889902</x:v>
      </x:c>
      <x:c r="J52" s="26" t="n">
        <x:v>0.44335544</x:v>
      </x:c>
      <x:c r="K52" s="26" t="n">
        <x:v>0.2232691658223573</x:v>
      </x:c>
      <x:c r="L52" s="26" t="n">
        <x:v>0.1253123944613306</x:v>
      </x:c>
      <x:c r="M52" s="26" t="n">
        <x:v>97</x:v>
      </x:c>
      <x:c r="N52" s="26" t="n">
        <x:v>214</x:v>
      </x:c>
      <x:c r="O52" s="26" t="n">
        <x:v>0.0652920962199312</x:v>
      </x:c>
      <x:c r="P52" s="26" t="n">
        <x:v>0.2802663</x:v>
      </x:c>
      <x:c r="Q52" s="26" t="n">
        <x:v>0.1666666666666666</x:v>
      </x:c>
      <x:c r="R52" s="26" t="n">
        <x:v>0.0936426116838488</x:v>
      </x:c>
      <x:c r="S52" s="33" t="n">
        <x:v>0.0652920962199312</x:v>
      </x:c>
      <x:c r="T52" s="33" t="n">
        <x:v>0.2802663</x:v>
      </x:c>
      <x:c r="U52" s="26" t="n">
        <x:v>120</x:v>
      </x:c>
      <x:c r="V52" s="37" t="n">
        <x:v>0.9642857142857143</x:v>
      </x:c>
      <x:c r="W52" s="43" t="n">
        <x:v>1</x:v>
      </x:c>
    </x:row>
    <x:row r="53">
      <x:c r="A53" s="25" t="str">
        <x:v>13008326</x:v>
      </x:c>
      <x:c r="B53" s="26" t="str">
        <x:v>MEAT-PCKGD</x:v>
      </x:c>
      <x:c r="C53" s="26" t="str">
        <x:v>Private</x:v>
      </x:c>
      <x:c r="D53" s="26" t="str">
        <x:v>LUNCHMEAT</x:v>
      </x:c>
      <x:c r="E53" s="26" t="str">
        <x:v>PEPPERONI/SALAMI</x:v>
      </x:c>
      <x:c r="F53" s="26" t="str">
        <x:v>6 OZ</x:v>
      </x:c>
      <x:c r="G53" s="26" t="n">
        <x:v>32</x:v>
      </x:c>
      <x:c r="H53" s="26" t="n">
        <x:v>87</x:v>
      </x:c>
      <x:c r="I53" s="26" t="n">
        <x:v>0.0972222222222222</x:v>
      </x:c>
      <x:c r="J53" s="26" t="n">
        <x:v>0.23003472</x:v>
      </x:c>
      <x:c r="K53" s="26" t="n">
        <x:v>0.1597222222222222</x:v>
      </x:c>
      <x:c r="L53" s="26" t="n">
        <x:v>0.0972222222222222</x:v>
      </x:c>
      <x:c r="M53" s="26" t="n">
        <x:v>21</x:v>
      </x:c>
      <x:c r="N53" s="26" t="n">
        <x:v>26</x:v>
      </x:c>
      <x:c r="O53" s="26" t="n">
        <x:v>0.0952380952380952</x:v>
      </x:c>
      <x:c r="P53" s="26" t="n">
        <x:v>0.52380955</x:v>
      </x:c>
      <x:c r="Q53" s="26" t="n">
        <x:v>0.5238095238095238</x:v>
      </x:c>
      <x:c r="R53" s="26" t="n">
        <x:v>0.1428571428571428</x:v>
      </x:c>
      <x:c r="S53" s="33" t="n">
        <x:v>0.0952380952380952</x:v>
      </x:c>
      <x:c r="T53" s="33" t="n">
        <x:v>0.23003472</x:v>
      </x:c>
      <x:c r="U53" s="26" t="n">
        <x:v>26</x:v>
      </x:c>
      <x:c r="V53" s="37" t="n">
        <x:v>0.8285714285714286</x:v>
      </x:c>
      <x:c r="W53" s="43" t="n">
        <x:v>2</x:v>
      </x:c>
    </x:row>
    <x:row r="54">
      <x:c r="A54" s="25" t="str">
        <x:v>8273833</x:v>
      </x:c>
      <x:c r="B54" s="26" t="str">
        <x:v>MEAT-PCKGD</x:v>
      </x:c>
      <x:c r="C54" s="26" t="str">
        <x:v>Private</x:v>
      </x:c>
      <x:c r="D54" s="26" t="str">
        <x:v>LUNCHMEAT</x:v>
      </x:c>
      <x:c r="E54" s="26" t="str">
        <x:v>POULTRY</x:v>
      </x:c>
      <x:c r="F54" s="26" t="str">
        <x:v>10OZ</x:v>
      </x:c>
      <x:c r="G54" s="26" t="n">
        <x:v>46</x:v>
      </x:c>
      <x:c r="H54" s="26" t="n">
        <x:v>96</x:v>
      </x:c>
      <x:c r="I54" s="26" t="n">
        <x:v>0.0483954451345755</x:v>
      </x:c>
      <x:c r="J54" s="26" t="n">
        <x:v>0.17050724</x:v>
      </x:c>
      <x:c r="K54" s="26" t="n">
        <x:v>0.0592650103519668</x:v>
      </x:c>
      <x:c r="L54" s="26" t="n">
        <x:v>0.0592650103519668</x:v>
      </x:c>
      <x:c r="M54" s="26" t="n">
        <x:v>78</x:v>
      </x:c>
      <x:c r="N54" s="26" t="n">
        <x:v>171</x:v>
      </x:c>
      <x:c r="O54" s="26" t="n">
        <x:v>0.0452991452991453</x:v>
      </x:c>
      <x:c r="P54" s="26" t="n">
        <x:v>0.1828846</x:v>
      </x:c>
      <x:c r="Q54" s="26" t="n">
        <x:v>0.0848290598290598</x:v>
      </x:c>
      <x:c r="R54" s="26" t="n">
        <x:v>0.0613247863247863</x:v>
      </x:c>
      <x:c r="S54" s="33" t="n">
        <x:v>0.0452991452991453</x:v>
      </x:c>
      <x:c r="T54" s="33" t="n">
        <x:v>0.17050724</x:v>
      </x:c>
      <x:c r="U54" s="26" t="n">
        <x:v>96</x:v>
      </x:c>
      <x:c r="V54" s="37" t="n">
        <x:v>0.8285714285714285</x:v>
      </x:c>
      <x:c r="W54" s="43" t="n">
        <x:v>3</x:v>
      </x:c>
    </x:row>
    <x:row r="55">
      <x:c r="A55" s="25" t="str">
        <x:v>895652</x:v>
      </x:c>
      <x:c r="B55" s="26" t="str">
        <x:v>MEAT-PCKGD</x:v>
      </x:c>
      <x:c r="C55" s="26" t="str">
        <x:v>National</x:v>
      </x:c>
      <x:c r="D55" s="26" t="str">
        <x:v>LUNCHMEAT</x:v>
      </x:c>
      <x:c r="E55" s="26" t="str">
        <x:v>BOLOGNA</x:v>
      </x:c>
      <x:c r="F55" s="26" t="str">
        <x:v>8 OZ</x:v>
      </x:c>
      <x:c r="G55" s="26" t="n">
        <x:v>19</x:v>
      </x:c>
      <x:c r="H55" s="26" t="n">
        <x:v>24</x:v>
      </x:c>
      <x:c r="I55" s="26" t="n">
        <x:v>0.087719298245614</x:v>
      </x:c>
      <x:c r="J55" s="26" t="n">
        <x:v>0.19298247</x:v>
      </x:c>
      <x:c r="K55" s="26" t="n">
        <x:v>0.1929824561403508</x:v>
      </x:c>
      <x:c r="L55" s="26" t="n">
        <x:v>0.1403508771929824</x:v>
      </x:c>
      <x:c r="M55" s="26" t="n">
        <x:v>61</x:v>
      </x:c>
      <x:c r="N55" s="26" t="n">
        <x:v>80</x:v>
      </x:c>
      <x:c r="O55" s="26" t="n">
        <x:v>0.1393442622950819</x:v>
      </x:c>
      <x:c r="P55" s="26" t="n">
        <x:v>0.46311477</x:v>
      </x:c>
      <x:c r="Q55" s="26" t="n">
        <x:v>0.4918032786885246</x:v>
      </x:c>
      <x:c r="R55" s="26" t="n">
        <x:v>0.1885245901639344</x:v>
      </x:c>
      <x:c r="S55" s="33" t="n">
        <x:v>0.087719298245614</x:v>
      </x:c>
      <x:c r="T55" s="33" t="n">
        <x:v>0.19298247</x:v>
      </x:c>
      <x:c r="U55" s="26" t="n">
        <x:v>24</x:v>
      </x:c>
      <x:c r="V55" s="37" t="n">
        <x:v>0.7857142857142857</x:v>
      </x:c>
      <x:c r="W55" s="43" t="n">
        <x:v>4</x:v>
      </x:c>
    </x:row>
    <x:row r="56">
      <x:c r="A56" s="25" t="str">
        <x:v>835618</x:v>
      </x:c>
      <x:c r="B56" s="26" t="str">
        <x:v>MEAT-PCKGD</x:v>
      </x:c>
      <x:c r="C56" s="26" t="str">
        <x:v>National</x:v>
      </x:c>
      <x:c r="D56" s="26" t="str">
        <x:v>LUNCHMEAT</x:v>
      </x:c>
      <x:c r="E56" s="26" t="str">
        <x:v>BOLOGNA</x:v>
      </x:c>
      <x:c r="F56" s="26" t="str">
        <x:v>16 OZ</x:v>
      </x:c>
      <x:c r="G56" s="26" t="n">
        <x:v>21</x:v>
      </x:c>
      <x:c r="H56" s="26" t="n">
        <x:v>26</x:v>
      </x:c>
      <x:c r="I56" s="26" t="n">
        <x:v>0.0952380952380952</x:v>
      </x:c>
      <x:c r="J56" s="26" t="n">
        <x:v>0.4747619</x:v>
      </x:c>
      <x:c r="K56" s="26" t="n">
        <x:v>0.2142857142857142</x:v>
      </x:c>
      <x:c r="L56" s="26" t="n">
        <x:v>0.1428571428571428</x:v>
      </x:c>
      <x:c r="M56" s="26" t="n">
        <x:v>36</x:v>
      </x:c>
      <x:c r="N56" s="26" t="n">
        <x:v>56</x:v>
      </x:c>
      <x:c r="O56" s="26" t="n">
        <x:v>0.0509259259259259</x:v>
      </x:c>
      <x:c r="P56" s="26" t="n">
        <x:v>0.18939814</x:v>
      </x:c>
      <x:c r="Q56" s="26" t="n">
        <x:v>0.0509259259259259</x:v>
      </x:c>
      <x:c r="R56" s="26" t="n">
        <x:v>0.0509259259259259</x:v>
      </x:c>
      <x:c r="S56" s="33" t="n">
        <x:v>0.0509259259259259</x:v>
      </x:c>
      <x:c r="T56" s="33" t="n">
        <x:v>0.18939814</x:v>
      </x:c>
      <x:c r="U56" s="26" t="n">
        <x:v>26</x:v>
      </x:c>
      <x:c r="V56" s="37" t="n">
        <x:v>0.7285714285714285</x:v>
      </x:c>
      <x:c r="W56" s="43" t="n">
        <x:v>5</x:v>
      </x:c>
    </x:row>
    <x:row r="57">
      <x:c r="A57" s="25" t="str">
        <x:v>982790</x:v>
      </x:c>
      <x:c r="B57" s="26" t="str">
        <x:v>MEAT-PCKGD</x:v>
      </x:c>
      <x:c r="C57" s="26" t="str">
        <x:v>National</x:v>
      </x:c>
      <x:c r="D57" s="26" t="str">
        <x:v>LUNCHMEAT</x:v>
      </x:c>
      <x:c r="E57" s="26" t="str">
        <x:v>BOLOGNA</x:v>
      </x:c>
      <x:c r="F57" s="26" t="str">
        <x:v>16 OZ</x:v>
      </x:c>
      <x:c r="G57" s="26" t="n">
        <x:v>44</x:v>
      </x:c>
      <x:c r="H57" s="26" t="n">
        <x:v>100</x:v>
      </x:c>
      <x:c r="I57" s="26" t="n">
        <x:v>0.0594696969696969</x:v>
      </x:c>
      <x:c r="J57" s="26" t="n">
        <x:v>0.093165584</x:v>
      </x:c>
      <x:c r="K57" s="26" t="n">
        <x:v>0.1901515151515151</x:v>
      </x:c>
      <x:c r="L57" s="26" t="n">
        <x:v>0.0943181818181818</x:v>
      </x:c>
      <x:c r="M57" s="26" t="n">
        <x:v>65</x:v>
      </x:c>
      <x:c r="N57" s="26" t="n">
        <x:v>81</x:v>
      </x:c>
      <x:c r="O57" s="26" t="n">
        <x:v>0.0692307692307692</x:v>
      </x:c>
      <x:c r="P57" s="26" t="n">
        <x:v>0.184</x:v>
      </x:c>
      <x:c r="Q57" s="26" t="n">
        <x:v>0.1076923076923077</x:v>
      </x:c>
      <x:c r="R57" s="26" t="n">
        <x:v>0.0615384615384615</x:v>
      </x:c>
      <x:c r="S57" s="33" t="n">
        <x:v>0.0594696969696969</x:v>
      </x:c>
      <x:c r="T57" s="33" t="n">
        <x:v>0.093165584</x:v>
      </x:c>
      <x:c r="U57" s="26" t="n">
        <x:v>81</x:v>
      </x:c>
      <x:c r="V57" s="37" t="n">
        <x:v>0.7142857142857144</x:v>
      </x:c>
      <x:c r="W57" s="43" t="n">
        <x:v>6</x:v>
      </x:c>
    </x:row>
    <x:row r="58">
      <x:c r="A58" s="25" t="str">
        <x:v>1125199</x:v>
      </x:c>
      <x:c r="B58" s="26" t="str">
        <x:v>MEAT-PCKGD</x:v>
      </x:c>
      <x:c r="C58" s="26" t="str">
        <x:v>National</x:v>
      </x:c>
      <x:c r="D58" s="26" t="str">
        <x:v>LUNCHMEAT</x:v>
      </x:c>
      <x:c r="E58" s="26" t="str">
        <x:v>LUNCH COMBO</x:v>
      </x:c>
      <x:c r="F58" s="26" t="str">
        <x:v>10.55OZ</x:v>
      </x:c>
      <x:c r="G58" s="26" t="n">
        <x:v>17</x:v>
      </x:c>
      <x:c r="H58" s="26" t="n">
        <x:v>23</x:v>
      </x:c>
      <x:c r="I58" s="26" t="n">
        <x:v>0.0588235294117647</x:v>
      </x:c>
      <x:c r="J58" s="26" t="n">
        <x:v>0.23294118</x:v>
      </x:c>
      <x:c r="K58" s="26" t="n">
        <x:v>0.2352941176470588</x:v>
      </x:c>
      <x:c r="L58" s="26" t="n">
        <x:v>0.0588235294117647</x:v>
      </x:c>
      <x:c r="M58" s="26" t="n">
        <x:v>47</x:v>
      </x:c>
      <x:c r="N58" s="26" t="n">
        <x:v>61</x:v>
      </x:c>
      <x:c r="O58" s="26" t="n">
        <x:v>0.1170212765957446</x:v>
      </x:c>
      <x:c r="P58" s="26" t="n">
        <x:v>0.18723404</x:v>
      </x:c>
      <x:c r="Q58" s="26" t="n">
        <x:v>0.1382978723404255</x:v>
      </x:c>
      <x:c r="R58" s="26" t="n">
        <x:v>0.1063829787234042</x:v>
      </x:c>
      <x:c r="S58" s="33" t="n">
        <x:v>0.0588235294117647</x:v>
      </x:c>
      <x:c r="T58" s="33" t="n">
        <x:v>0.18723404</x:v>
      </x:c>
      <x:c r="U58" s="26" t="n">
        <x:v>23</x:v>
      </x:c>
      <x:c r="V58" s="37" t="n">
        <x:v>0.7035714285714286</x:v>
      </x:c>
      <x:c r="W58" s="43" t="n">
        <x:v>7</x:v>
      </x:c>
    </x:row>
    <x:row r="59">
      <x:c r="A59" s="25" t="str">
        <x:v>9835947</x:v>
      </x:c>
      <x:c r="B59" s="26" t="str">
        <x:v>MEAT-PCKGD</x:v>
      </x:c>
      <x:c r="C59" s="26" t="str">
        <x:v>Private</x:v>
      </x:c>
      <x:c r="D59" s="26" t="str">
        <x:v>LUNCHMEAT</x:v>
      </x:c>
      <x:c r="E59" s="26" t="str">
        <x:v>HAM</x:v>
      </x:c>
      <x:c r="F59" s="26" t="str">
        <x:v>10 OZ</x:v>
      </x:c>
      <x:c r="G59" s="26" t="n">
        <x:v>37</x:v>
      </x:c>
      <x:c r="H59" s="26" t="n">
        <x:v>71</x:v>
      </x:c>
      <x:c r="I59" s="26" t="n">
        <x:v>0.063063063063063</x:v>
      </x:c>
      <x:c r="J59" s="26" t="n">
        <x:v>0.15315315</x:v>
      </x:c>
      <x:c r="K59" s="26" t="n">
        <x:v>0.072072072072072</x:v>
      </x:c>
      <x:c r="L59" s="26" t="n">
        <x:v>0.063063063063063</x:v>
      </x:c>
      <x:c r="M59" s="26" t="n">
        <x:v>65</x:v>
      </x:c>
      <x:c r="N59" s="26" t="n">
        <x:v>146</x:v>
      </x:c>
      <x:c r="O59" s="26" t="n">
        <x:v>0.0443589743589743</x:v>
      </x:c>
      <x:c r="P59" s="26" t="n">
        <x:v>0.10425128</x:v>
      </x:c>
      <x:c r="Q59" s="26" t="n">
        <x:v>0.0523076923076923</x:v>
      </x:c>
      <x:c r="R59" s="26" t="n">
        <x:v>0.0443589743589743</x:v>
      </x:c>
      <x:c r="S59" s="33" t="n">
        <x:v>0.0443589743589743</x:v>
      </x:c>
      <x:c r="T59" s="33" t="n">
        <x:v>0.10425128</x:v>
      </x:c>
      <x:c r="U59" s="26" t="n">
        <x:v>71</x:v>
      </x:c>
      <x:c r="V59" s="37" t="n">
        <x:v>0.675</x:v>
      </x:c>
      <x:c r="W59" s="43" t="n">
        <x:v>8</x:v>
      </x:c>
    </x:row>
    <x:row r="60">
      <x:c r="A60" s="25" t="str">
        <x:v>825365</x:v>
      </x:c>
      <x:c r="B60" s="26" t="str">
        <x:v>MEAT-PCKGD</x:v>
      </x:c>
      <x:c r="C60" s="26" t="str">
        <x:v>Private</x:v>
      </x:c>
      <x:c r="D60" s="26" t="str">
        <x:v>LUNCHMEAT</x:v>
      </x:c>
      <x:c r="E60" s="26" t="str">
        <x:v>PEPPERONI/SALAMI</x:v>
      </x:c>
      <x:c r="F60" s="26" t="str">
        <x:v>8 OZ</x:v>
      </x:c>
      <x:c r="G60" s="26" t="n">
        <x:v>59</x:v>
      </x:c>
      <x:c r="H60" s="26" t="n">
        <x:v>254</x:v>
      </x:c>
      <x:c r="I60" s="26" t="n">
        <x:v>0.0366290018832391</x:v>
      </x:c>
      <x:c r="J60" s="26" t="n">
        <x:v>0.11610034</x:v>
      </x:c>
      <x:c r="K60" s="26" t="n">
        <x:v>0.0461124562819478</x:v>
      </x:c>
      <x:c r="L60" s="26" t="n">
        <x:v>0.0309792843691148</x:v>
      </x:c>
      <x:c r="M60" s="26" t="n">
        <x:v>54</x:v>
      </x:c>
      <x:c r="N60" s="26" t="n">
        <x:v>84</x:v>
      </x:c>
      <x:c r="O60" s="26" t="n">
        <x:v>0.0524691358024691</x:v>
      </x:c>
      <x:c r="P60" s="26" t="n">
        <x:v>0.14108025</x:v>
      </x:c>
      <x:c r="Q60" s="26" t="n">
        <x:v>0.0493827160493827</x:v>
      </x:c>
      <x:c r="R60" s="26" t="n">
        <x:v>0.0524691358024691</x:v>
      </x:c>
      <x:c r="S60" s="33" t="n">
        <x:v>0.0366290018832391</x:v>
      </x:c>
      <x:c r="T60" s="33" t="n">
        <x:v>0.11610034</x:v>
      </x:c>
      <x:c r="U60" s="26" t="n">
        <x:v>84</x:v>
      </x:c>
      <x:c r="V60" s="37" t="n">
        <x:v>0.6642857142857144</x:v>
      </x:c>
      <x:c r="W60" s="43" t="n">
        <x:v>9</x:v>
      </x:c>
    </x:row>
    <x:row r="61">
      <x:c r="A61" s="25" t="str">
        <x:v>844839</x:v>
      </x:c>
      <x:c r="B61" s="26" t="str">
        <x:v>MEAT-PCKGD</x:v>
      </x:c>
      <x:c r="C61" s="26" t="str">
        <x:v>National</x:v>
      </x:c>
      <x:c r="D61" s="26" t="str">
        <x:v>LUNCHMEAT</x:v>
      </x:c>
      <x:c r="E61" s="26" t="str">
        <x:v>LUNCH COMBO</x:v>
      </x:c>
      <x:c r="F61" s="26" t="str">
        <x:v>4.15 OZ</x:v>
      </x:c>
      <x:c r="G61" s="26" t="n">
        <x:v>31</x:v>
      </x:c>
      <x:c r="H61" s="26" t="n">
        <x:v>51</x:v>
      </x:c>
      <x:c r="I61" s="26" t="n">
        <x:v>0.0483870967741935</x:v>
      </x:c>
      <x:c r="J61" s="26" t="n">
        <x:v>0.112473115</x:v>
      </x:c>
      <x:c r="K61" s="26" t="n">
        <x:v>0.0698924731182795</x:v>
      </x:c>
      <x:c r="L61" s="26" t="n">
        <x:v>0.0483870967741935</x:v>
      </x:c>
      <x:c r="M61" s="26" t="n">
        <x:v>63</x:v>
      </x:c>
      <x:c r="N61" s="26" t="n">
        <x:v>67</x:v>
      </x:c>
      <x:c r="O61" s="26" t="n">
        <x:v>0.0396825396825396</x:v>
      </x:c>
      <x:c r="P61" s="26" t="n">
        <x:v>0.12674603</x:v>
      </x:c>
      <x:c r="Q61" s="26" t="n">
        <x:v>0.0714285714285714</x:v>
      </x:c>
      <x:c r="R61" s="26" t="n">
        <x:v>0.0396825396825396</x:v>
      </x:c>
      <x:c r="S61" s="33" t="n">
        <x:v>0.0396825396825396</x:v>
      </x:c>
      <x:c r="T61" s="33" t="n">
        <x:v>0.112473115</x:v>
      </x:c>
      <x:c r="U61" s="26" t="n">
        <x:v>51</x:v>
      </x:c>
      <x:c r="V61" s="37" t="n">
        <x:v>0.6500000000000001</x:v>
      </x:c>
      <x:c r="W61" s="43" t="n">
        <x:v>10</x:v>
      </x:c>
    </x:row>
    <x:row r="62">
      <x:c r="A62" s="25" t="str">
        <x:v>8020001</x:v>
      </x:c>
      <x:c r="B62" s="26" t="str">
        <x:v>PASTRY</x:v>
      </x:c>
      <x:c r="C62" s="26" t="str">
        <x:v>National</x:v>
      </x:c>
      <x:c r="D62" s="26" t="str">
        <x:v>PIES</x:v>
      </x:c>
      <x:c r="E62" s="26" t="str">
        <x:v>PIES: PUMPKIN/CUSTARD</x:v>
      </x:c>
      <x:c r="F62" s="26" t="str">
        <x:v> </x:v>
      </x:c>
      <x:c r="G62" s="26" t="n">
        <x:v>27</x:v>
      </x:c>
      <x:c r="H62" s="26" t="n">
        <x:v>162</x:v>
      </x:c>
      <x:c r="I62" s="26" t="n">
        <x:v>0.1161475658207684</x:v>
      </x:c>
      <x:c r="J62" s="26" t="n">
        <x:v>0.69950676</x:v>
      </x:c>
      <x:c r="K62" s="26" t="n">
        <x:v>0.1480405699359947</x:v>
      </x:c>
      <x:c r="L62" s="26" t="n">
        <x:v>0.1480405699359947</x:v>
      </x:c>
      <x:c r="M62" s="26" t="n">
        <x:v>34</x:v>
      </x:c>
      <x:c r="N62" s="26" t="n">
        <x:v>133</x:v>
      </x:c>
      <x:c r="O62" s="26" t="n">
        <x:v>0.0561041083099906</x:v>
      </x:c>
      <x:c r="P62" s="26" t="n">
        <x:v>0.34430587</x:v>
      </x:c>
      <x:c r="Q62" s="26" t="n">
        <x:v>0.0733776844070961</x:v>
      </x:c>
      <x:c r="R62" s="26" t="n">
        <x:v>0.0774626517273576</x:v>
      </x:c>
      <x:c r="S62" s="33" t="n">
        <x:v>0.0561041083099906</x:v>
      </x:c>
      <x:c r="T62" s="33" t="n">
        <x:v>0.34430587</x:v>
      </x:c>
      <x:c r="U62" s="26" t="n">
        <x:v>133</x:v>
      </x:c>
      <x:c r="V62" s="37" t="n">
        <x:v>0.8666666666666667</x:v>
      </x:c>
      <x:c r="W62" s="43" t="n">
        <x:v>1</x:v>
      </x:c>
    </x:row>
    <x:row r="63">
      <x:c r="A63" s="25" t="str">
        <x:v>1025911</x:v>
      </x:c>
      <x:c r="B63" s="26" t="str">
        <x:v>PASTRY</x:v>
      </x:c>
      <x:c r="C63" s="26" t="str">
        <x:v>Private</x:v>
      </x:c>
      <x:c r="D63" s="26" t="str">
        <x:v>PIES</x:v>
      </x:c>
      <x:c r="E63" s="26" t="str">
        <x:v>PIES: FRUIT/NUT</x:v>
      </x:c>
      <x:c r="F63" s="26" t="str">
        <x:v> </x:v>
      </x:c>
      <x:c r="G63" s="26" t="n">
        <x:v>13</x:v>
      </x:c>
      <x:c r="H63" s="26" t="n">
        <x:v>29</x:v>
      </x:c>
      <x:c r="I63" s="26" t="n">
        <x:v>0.0865384615384615</x:v>
      </x:c>
      <x:c r="J63" s="26" t="n">
        <x:v>0.4318269</x:v>
      </x:c>
      <x:c r="K63" s="26" t="n">
        <x:v>0.0865384615384615</x:v>
      </x:c>
      <x:c r="L63" s="26" t="n">
        <x:v>0.0865384615384615</x:v>
      </x:c>
      <x:c r="M63" s="26" t="n">
        <x:v>29</x:v>
      </x:c>
      <x:c r="N63" s="26" t="n">
        <x:v>66</x:v>
      </x:c>
      <x:c r="O63" s="26" t="n">
        <x:v>0.0747126436781609</x:v>
      </x:c>
      <x:c r="P63" s="26" t="n">
        <x:v>0.33833334</x:v>
      </x:c>
      <x:c r="Q63" s="26" t="n">
        <x:v>0.0747126436781609</x:v>
      </x:c>
      <x:c r="R63" s="26" t="n">
        <x:v>0.0747126436781609</x:v>
      </x:c>
      <x:c r="S63" s="33" t="n">
        <x:v>0.0747126436781609</x:v>
      </x:c>
      <x:c r="T63" s="33" t="n">
        <x:v>0.33833334</x:v>
      </x:c>
      <x:c r="U63" s="26" t="n">
        <x:v>29</x:v>
      </x:c>
      <x:c r="V63" s="37" t="n">
        <x:v>0.7333333333333334</x:v>
      </x:c>
      <x:c r="W63" s="43" t="n">
        <x:v>2</x:v>
      </x:c>
    </x:row>
    <x:row r="64">
      <x:c r="A64" s="25" t="str">
        <x:v>15831255</x:v>
      </x:c>
      <x:c r="B64" s="26" t="str">
        <x:v>PASTRY</x:v>
      </x:c>
      <x:c r="C64" s="26" t="str">
        <x:v>National</x:v>
      </x:c>
      <x:c r="D64" s="26" t="str">
        <x:v>PIES</x:v>
      </x:c>
      <x:c r="E64" s="26" t="str">
        <x:v>PIES: PUMPKIN/CUSTARD</x:v>
      </x:c>
      <x:c r="F64" s="26" t="str">
        <x:v> </x:v>
      </x:c>
      <x:c r="G64" s="26" t="n">
        <x:v>13</x:v>
      </x:c>
      <x:c r="H64" s="26" t="n">
        <x:v>45</x:v>
      </x:c>
      <x:c r="I64" s="26" t="n">
        <x:v>0.048076923076923</x:v>
      </x:c>
      <x:c r="J64" s="26" t="n">
        <x:v>0.80644226</x:v>
      </x:c>
      <x:c r="K64" s="26" t="n">
        <x:v>0.1634615384615384</x:v>
      </x:c>
      <x:c r="L64" s="26" t="n">
        <x:v>0.1634615384615384</x:v>
      </x:c>
      <x:c r="M64" s="26" t="n">
        <x:v>14</x:v>
      </x:c>
      <x:c r="N64" s="26" t="n">
        <x:v>48</x:v>
      </x:c>
      <x:c r="O64" s="26" t="n">
        <x:v>0.0261904761904761</x:v>
      </x:c>
      <x:c r="P64" s="26" t="n">
        <x:v>0.60616666</x:v>
      </x:c>
      <x:c r="Q64" s="26" t="n">
        <x:v>0.1333333333333333</x:v>
      </x:c>
      <x:c r="R64" s="26" t="n">
        <x:v>0.1333333333333333</x:v>
      </x:c>
      <x:c r="S64" s="33" t="n">
        <x:v>0.0261904761904761</x:v>
      </x:c>
      <x:c r="T64" s="33" t="n">
        <x:v>0.60616666</x:v>
      </x:c>
      <x:c r="U64" s="26" t="n">
        <x:v>45</x:v>
      </x:c>
      <x:c r="V64" s="37" t="n">
        <x:v>0.6666666666666666</x:v>
      </x:c>
      <x:c r="W64" s="43" t="n">
        <x:v>3</x:v>
      </x:c>
    </x:row>
    <x:row r="65">
      <x:c r="A65" s="25" t="str">
        <x:v>8011291</x:v>
      </x:c>
      <x:c r="B65" s="26" t="str">
        <x:v>PASTRY</x:v>
      </x:c>
      <x:c r="C65" s="26" t="str">
        <x:v>Private</x:v>
      </x:c>
      <x:c r="D65" s="26" t="str">
        <x:v>PIES</x:v>
      </x:c>
      <x:c r="E65" s="26" t="str">
        <x:v>PIES: FRUIT/NUT</x:v>
      </x:c>
      <x:c r="F65" s="26" t="str">
        <x:v> </x:v>
      </x:c>
      <x:c r="G65" s="26" t="n">
        <x:v>20</x:v>
      </x:c>
      <x:c r="H65" s="26" t="n">
        <x:v>81</x:v>
      </x:c>
      <x:c r="I65" s="26" t="n">
        <x:v>0.0427350427350427</x:v>
      </x:c>
      <x:c r="J65" s="26" t="n">
        <x:v>0.33799785</x:v>
      </x:c>
      <x:c r="K65" s="26" t="n">
        <x:v>0.0677350427350427</x:v>
      </x:c>
      <x:c r="L65" s="26" t="n">
        <x:v>0.0677350427350427</x:v>
      </x:c>
      <x:c r="M65" s="26" t="n">
        <x:v>41</x:v>
      </x:c>
      <x:c r="N65" s="26" t="n">
        <x:v>132</x:v>
      </x:c>
      <x:c r="O65" s="26" t="n">
        <x:v>0.0358339492485833</x:v>
      </x:c>
      <x:c r="P65" s="26" t="n">
        <x:v>0.25072935</x:v>
      </x:c>
      <x:c r="Q65" s="26" t="n">
        <x:v>0.0502463661000246</x:v>
      </x:c>
      <x:c r="R65" s="26" t="n">
        <x:v>0.0480290711998029</x:v>
      </x:c>
      <x:c r="S65" s="33" t="n">
        <x:v>0.0358339492485833</x:v>
      </x:c>
      <x:c r="T65" s="33" t="n">
        <x:v>0.25072935</x:v>
      </x:c>
      <x:c r="U65" s="26" t="n">
        <x:v>81</x:v>
      </x:c>
      <x:c r="V65" s="37" t="n">
        <x:v>0.5666666666666667</x:v>
      </x:c>
      <x:c r="W65" s="43" t="n">
        <x:v>4</x:v>
      </x:c>
    </x:row>
    <x:row r="66">
      <x:c r="A66" s="25" t="str">
        <x:v>9834837</x:v>
      </x:c>
      <x:c r="B66" s="26" t="str">
        <x:v>PASTRY</x:v>
      </x:c>
      <x:c r="C66" s="26" t="str">
        <x:v>Private</x:v>
      </x:c>
      <x:c r="D66" s="26" t="str">
        <x:v>PIES</x:v>
      </x:c>
      <x:c r="E66" s="26" t="str">
        <x:v>PIES: FRUIT/NUT</x:v>
      </x:c>
      <x:c r="F66" s="26" t="str">
        <x:v> </x:v>
      </x:c>
      <x:c r="G66" s="26" t="n">
        <x:v>13</x:v>
      </x:c>
      <x:c r="H66" s="26" t="n">
        <x:v>28</x:v>
      </x:c>
      <x:c r="I66" s="26" t="n">
        <x:v>0.0769230769230769</x:v>
      </x:c>
      <x:c r="J66" s="26" t="n">
        <x:v>0.38384613</x:v>
      </x:c>
      <x:c r="K66" s="26" t="n">
        <x:v>0.0769230769230769</x:v>
      </x:c>
      <x:c r="L66" s="26" t="n">
        <x:v>0.0769230769230769</x:v>
      </x:c>
      <x:c r="M66" s="26" t="n">
        <x:v>26</x:v>
      </x:c>
      <x:c r="N66" s="26" t="n">
        <x:v>60</x:v>
      </x:c>
      <x:c r="O66" s="26" t="n">
        <x:v>0.0384615384615384</x:v>
      </x:c>
      <x:c r="P66" s="26" t="n">
        <x:v>0.19192307</x:v>
      </x:c>
      <x:c r="Q66" s="26" t="n">
        <x:v>0.0384615384615384</x:v>
      </x:c>
      <x:c r="R66" s="26" t="n">
        <x:v>0.0384615384615384</x:v>
      </x:c>
      <x:c r="S66" s="33" t="n">
        <x:v>0.0384615384615384</x:v>
      </x:c>
      <x:c r="T66" s="33" t="n">
        <x:v>0.19192307</x:v>
      </x:c>
      <x:c r="U66" s="26" t="n">
        <x:v>28</x:v>
      </x:c>
      <x:c r="V66" s="37" t="n">
        <x:v>0.43333333333333335</x:v>
      </x:c>
      <x:c r="W66" s="43" t="n">
        <x:v>5</x:v>
      </x:c>
    </x:row>
    <x:row r="67">
      <x:c r="A67" s="28" t="str">
        <x:v>9835265</x:v>
      </x:c>
      <x:c r="B67" s="29" t="str">
        <x:v>PASTRY</x:v>
      </x:c>
      <x:c r="C67" s="29" t="str">
        <x:v>Private</x:v>
      </x:c>
      <x:c r="D67" s="29" t="str">
        <x:v>PIES</x:v>
      </x:c>
      <x:c r="E67" s="29" t="str">
        <x:v>PIES: FRUIT/NUT</x:v>
      </x:c>
      <x:c r="F67" s="29" t="str">
        <x:v> </x:v>
      </x:c>
      <x:c r="G67" s="29" t="n">
        <x:v>12</x:v>
      </x:c>
      <x:c r="H67" s="29" t="n">
        <x:v>39</x:v>
      </x:c>
      <x:c r="I67" s="29" t="n">
        <x:v>0.0138888888888888</x:v>
      </x:c>
      <x:c r="J67" s="29" t="n">
        <x:v>0.069305554</x:v>
      </x:c>
      <x:c r="K67" s="29" t="n">
        <x:v>0.0138888888888888</x:v>
      </x:c>
      <x:c r="L67" s="29" t="n">
        <x:v>0.0138888888888888</x:v>
      </x:c>
      <x:c r="M67" s="29" t="n">
        <x:v>27</x:v>
      </x:c>
      <x:c r="N67" s="29" t="n">
        <x:v>69</x:v>
      </x:c>
      <x:c r="O67" s="29" t="n">
        <x:v>0.0061728395061728</x:v>
      </x:c>
      <x:c r="P67" s="29" t="n">
        <x:v>0.12320987</x:v>
      </x:c>
      <x:c r="Q67" s="29" t="n">
        <x:v>0.0246913580246913</x:v>
      </x:c>
      <x:c r="R67" s="29" t="n">
        <x:v>0.0061728395061728</x:v>
      </x:c>
      <x:c r="S67" s="34" t="n">
        <x:v>0.0061728395061728</x:v>
      </x:c>
      <x:c r="T67" s="34" t="n">
        <x:v>0.069305554</x:v>
      </x:c>
      <x:c r="U67" s="29" t="n">
        <x:v>39</x:v>
      </x:c>
      <x:c r="V67" s="38" t="n">
        <x:v>0.23333333333333334</x:v>
      </x:c>
      <x:c r="W67" s="44" t="n">
        <x:v>6</x:v>
      </x:c>
    </x:row>
  </x:sheetData>
  <x:pageMargins left="0.7" right="0.7" top="0.75" bottom="0.75" header="0.3" footer="0.3"/>
</x:worksheet>
</file>