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76c1b0879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강건성 요약" sheetId="1" r:id="Re0497d3d76e5488d"/>
    <x:sheet xmlns:r="http://schemas.openxmlformats.org/officeDocument/2006/relationships" name="최종 판정" sheetId="2" r:id="Rb25997a28417496e"/>
    <x:sheet xmlns:r="http://schemas.openxmlformats.org/officeDocument/2006/relationships" name="상세 검정" sheetId="3" r:id="Re578290ab798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%"/>
    <x:numFmt numFmtId="201" formatCode="0.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623d4270b47e5" /><Relationship Type="http://schemas.openxmlformats.org/officeDocument/2006/relationships/theme" Target="/xl/theme/theme1.xml" Id="R9a50b8a577bb4d06" /><Relationship Type="http://schemas.microsoft.com/office/2022/11/relationships/FeaturePropertyBag" Target="/xl/featurePropertyBag/featurePropertyBag.xml" Id="Rfbfa8e6fed834c4d" /><Relationship Type="http://schemas.openxmlformats.org/officeDocument/2006/relationships/sharedStrings" Target="/xl/sharedStrings.xml" Id="Rd8536995494941ed" /><Relationship Type="http://schemas.openxmlformats.org/officeDocument/2006/relationships/worksheet" Target="/xl/worksheets/sheet1.xml" Id="Re0497d3d76e5488d" /><Relationship Type="http://schemas.openxmlformats.org/officeDocument/2006/relationships/worksheet" Target="/xl/worksheets/sheet2.xml" Id="Rb25997a28417496e" /><Relationship Type="http://schemas.openxmlformats.org/officeDocument/2006/relationships/worksheet" Target="/xl/worksheets/sheet3.xml" Id="Re578290ab79848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8" hidden="0" customWidth="1"/>
  </x:cols>
  <x:sheetData>
    <x:row r="1" ht="32" customHeight="1">
      <x:c r="A1" s="4" t="str">
        <x:v>우선 적용 카테고리 강건성 검증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검증 대상</x:v>
      </x:c>
      <x:c r="B3" s="17" t="str">
        <x:v>기존 우선 적용 카테고리 7개</x:v>
      </x:c>
      <x:c r="C3" s="17"/>
      <x:c r="D3" s="17"/>
      <x:c r="E3" s="17"/>
      <x:c r="F3" s="17"/>
      <x:c r="G3" s="17"/>
      <x:c r="H3" s="17"/>
    </x:row>
    <x:row r="4">
      <x:c r="A4" s="10" t="str">
        <x:v>검증 조건</x:v>
      </x:c>
      <x:c r="B4" s="17" t="str">
        <x:v>±1·±2·±4주 × 진열만·전단만 비교 = 카테고리당 6개 조건</x:v>
      </x:c>
      <x:c r="C4" s="17"/>
      <x:c r="D4" s="17"/>
      <x:c r="E4" s="17"/>
      <x:c r="F4" s="17"/>
      <x:c r="G4" s="17"/>
      <x:c r="H4" s="17"/>
    </x:row>
    <x:row r="5">
      <x:c r="A5" s="10" t="str">
        <x:v>최우선 적용</x:v>
      </x:c>
      <x:c r="B5" s="18" t="n">
        <x:f>COUNTIF('최종 판정'!$M$2:$M$8,"최우선 적용")</x:f>
        <x:v>3</x:v>
      </x:c>
      <x:c r="C5" s="17"/>
      <x:c r="D5" s="17"/>
      <x:c r="E5" s="17"/>
      <x:c r="F5" s="17"/>
      <x:c r="G5" s="17"/>
      <x:c r="H5" s="17"/>
    </x:row>
    <x:row r="6">
      <x:c r="A6" s="10" t="str">
        <x:v>파일럿</x:v>
      </x:c>
      <x:c r="B6" s="18" t="n">
        <x:f>COUNTIF('최종 판정'!$M$2:$M$8,"파일럿")</x:f>
        <x:v>4</x:v>
      </x:c>
      <x:c r="C6" s="17"/>
      <x:c r="D6" s="17"/>
      <x:c r="E6" s="17"/>
      <x:c r="F6" s="17"/>
      <x:c r="G6" s="17"/>
      <x:c r="H6" s="17"/>
    </x:row>
    <x:row r="7">
      <x:c r="A7" s="10" t="str">
        <x:v>우선순위 하향</x:v>
      </x:c>
      <x:c r="B7" s="17" t="n">
        <x:f>COUNTIF('최종 판정'!$M$2:$M$8,"우선순위 하향")</x:f>
        <x:v>0</x:v>
      </x:c>
      <x:c r="C7" s="17"/>
      <x:c r="D7" s="17"/>
      <x:c r="E7" s="17"/>
      <x:c r="F7" s="17"/>
      <x:c r="G7" s="17"/>
      <x:c r="H7" s="17"/>
    </x:row>
    <x:row r="8">
      <x:c r="A8" s="17"/>
      <x:c r="B8" s="17"/>
      <x:c r="C8" s="17"/>
      <x:c r="D8" s="17"/>
      <x:c r="E8" s="17"/>
      <x:c r="F8" s="17"/>
      <x:c r="G8" s="17"/>
      <x:c r="H8" s="17"/>
    </x:row>
    <x:row r="9">
      <x:c r="A9" s="19" t="str">
        <x:v>최종 카테고리 판정</x:v>
      </x:c>
      <x:c r="B9" s="19"/>
      <x:c r="C9" s="19"/>
      <x:c r="D9" s="19"/>
      <x:c r="E9" s="19"/>
      <x:c r="F9" s="19"/>
      <x:c r="G9" s="19"/>
      <x:c r="H9" s="19"/>
    </x:row>
    <x:row r="10">
      <x:c r="A10" s="10" t="str">
        <x:v>DEPARTMENT</x:v>
      </x:c>
      <x:c r="B10" s="10" t="str">
        <x:v>COMMODITY_DESC</x:v>
      </x:c>
      <x:c r="C10" s="10" t="str">
        <x:v>통과 조건</x:v>
      </x:c>
      <x:c r="D10" s="10" t="str">
        <x:v>전체 조건</x:v>
      </x:c>
      <x:c r="E10" s="10" t="str">
        <x:v>최소 판매발생률 효과</x:v>
      </x:c>
      <x:c r="F10" s="10" t="str">
        <x:v>최소 매출 효과</x:v>
      </x:c>
      <x:c r="G10" s="10" t="str">
        <x:v>최종 판정</x:v>
      </x:c>
      <x:c r="H10" s="10" t="str">
        <x:v>해석</x:v>
      </x:c>
    </x:row>
    <x:row r="11">
      <x:c r="A11" s="17" t="str">
        <x:v>MEAT-PCKGD</x:v>
      </x:c>
      <x:c r="B11" s="17" t="str">
        <x:v>BACON</x:v>
      </x:c>
      <x:c r="C11" s="17" t="n">
        <x:v>6</x:v>
      </x:c>
      <x:c r="D11" s="17" t="n">
        <x:v>6</x:v>
      </x:c>
      <x:c r="E11" s="20" t="n">
        <x:v>0.014445892200100249</x:v>
      </x:c>
      <x:c r="F11" s="21" t="n">
        <x:v>0.08016339463333334</x:v>
      </x:c>
      <x:c r="G11" s="17" t="str">
        <x:v>최우선 적용</x:v>
      </x:c>
      <x:c r="H11" s="17" t="str">
        <x:v>±1·±2·±4주의 두 단독 방식 비교에서 판매발생률·매출 95% 신뢰구간 하한이 모두 0 초과</x:v>
      </x:c>
    </x:row>
    <x:row r="12">
      <x:c r="A12" s="17" t="str">
        <x:v>MEAT-PCKGD</x:v>
      </x:c>
      <x:c r="B12" s="17" t="str">
        <x:v>LUNCHMEAT</x:v>
      </x:c>
      <x:c r="C12" s="17" t="n">
        <x:v>6</x:v>
      </x:c>
      <x:c r="D12" s="17" t="n">
        <x:v>6</x:v>
      </x:c>
      <x:c r="E12" s="20" t="n">
        <x:v>0.011176844774443102</x:v>
      </x:c>
      <x:c r="F12" s="21" t="n">
        <x:v>0.027972826250316454</x:v>
      </x:c>
      <x:c r="G12" s="17" t="str">
        <x:v>최우선 적용</x:v>
      </x:c>
      <x:c r="H12" s="17" t="str">
        <x:v>±1·±2·±4주의 두 단독 방식 비교에서 판매발생률·매출 95% 신뢰구간 하한이 모두 0 초과</x:v>
      </x:c>
    </x:row>
    <x:row r="13">
      <x:c r="A13" s="17" t="str">
        <x:v>MEAT-PCKGD</x:v>
      </x:c>
      <x:c r="B13" s="17" t="str">
        <x:v>DINNER SAUSAGE</x:v>
      </x:c>
      <x:c r="C13" s="17" t="n">
        <x:v>6</x:v>
      </x:c>
      <x:c r="D13" s="17" t="n">
        <x:v>6</x:v>
      </x:c>
      <x:c r="E13" s="20" t="n">
        <x:v>0.007740277918333732</x:v>
      </x:c>
      <x:c r="F13" s="21" t="n">
        <x:v>0.02469927151818182</x:v>
      </x:c>
      <x:c r="G13" s="17" t="str">
        <x:v>최우선 적용</x:v>
      </x:c>
      <x:c r="H13" s="17" t="str">
        <x:v>±1·±2·±4주의 두 단독 방식 비교에서 판매발생률·매출 95% 신뢰구간 하한이 모두 0 초과</x:v>
      </x:c>
    </x:row>
    <x:row r="14">
      <x:c r="A14" s="17" t="str">
        <x:v>MEAT-PCKGD</x:v>
      </x:c>
      <x:c r="B14" s="17" t="str">
        <x:v>BREAKFAST SAUSAGE/SANDWICHES</x:v>
      </x:c>
      <x:c r="C14" s="17" t="n">
        <x:v>5</x:v>
      </x:c>
      <x:c r="D14" s="17" t="n">
        <x:v>6</x:v>
      </x:c>
      <x:c r="E14" s="20" t="n">
        <x:v>0.010801137271896584</x:v>
      </x:c>
      <x:c r="F14" s="21" t="n">
        <x:v>0.03457677811764707</x:v>
      </x:c>
      <x:c r="G14" s="17" t="str">
        <x:v>파일럿</x:v>
      </x:c>
      <x:c r="H14" s="17" t="str">
        <x:v>모든 조건에서 평균 효과는 양수지만 일부 조건의 신뢰구간이 0을 포함</x:v>
      </x:c>
    </x:row>
    <x:row r="15">
      <x:c r="A15" s="17" t="str">
        <x:v>GROCERY</x:v>
      </x:c>
      <x:c r="B15" s="17" t="str">
        <x:v>SOFT DRINKS</x:v>
      </x:c>
      <x:c r="C15" s="17" t="n">
        <x:v>4</x:v>
      </x:c>
      <x:c r="D15" s="17" t="n">
        <x:v>6</x:v>
      </x:c>
      <x:c r="E15" s="20" t="n">
        <x:v>0.0027119728542273672</x:v>
      </x:c>
      <x:c r="F15" s="21" t="n">
        <x:v>0.005248626480289505</x:v>
      </x:c>
      <x:c r="G15" s="17" t="str">
        <x:v>파일럿</x:v>
      </x:c>
      <x:c r="H15" s="17" t="str">
        <x:v>모든 조건에서 평균 효과는 양수지만 일부 조건의 신뢰구간이 0을 포함</x:v>
      </x:c>
    </x:row>
    <x:row r="16">
      <x:c r="A16" s="17" t="str">
        <x:v>PASTRY</x:v>
      </x:c>
      <x:c r="B16" s="17" t="str">
        <x:v>PIES</x:v>
      </x:c>
      <x:c r="C16" s="17" t="n">
        <x:v>3</x:v>
      </x:c>
      <x:c r="D16" s="17" t="n">
        <x:v>6</x:v>
      </x:c>
      <x:c r="E16" s="20" t="n">
        <x:v>0.003633003898548769</x:v>
      </x:c>
      <x:c r="F16" s="21" t="n">
        <x:v>0.0370799191060606</x:v>
      </x:c>
      <x:c r="G16" s="17" t="str">
        <x:v>파일럿</x:v>
      </x:c>
      <x:c r="H16" s="17" t="str">
        <x:v>모든 조건에서 평균 효과는 양수지만 일부 조건의 신뢰구간이 0을 포함</x:v>
      </x:c>
    </x:row>
    <x:row r="17">
      <x:c r="A17" s="17" t="str">
        <x:v>GROCERY</x:v>
      </x:c>
      <x:c r="B17" s="17" t="str">
        <x:v>WAREHOUSE SNACKS</x:v>
      </x:c>
      <x:c r="C17" s="17" t="n">
        <x:v>2</x:v>
      </x:c>
      <x:c r="D17" s="17" t="n">
        <x:v>6</x:v>
      </x:c>
      <x:c r="E17" s="20" t="n">
        <x:v>0.00032515914628767907</x:v>
      </x:c>
      <x:c r="F17" s="21" t="n">
        <x:v>0.003571373698901098</x:v>
      </x:c>
      <x:c r="G17" s="17" t="str">
        <x:v>파일럿</x:v>
      </x:c>
      <x:c r="H17" s="17" t="str">
        <x:v>모든 조건에서 평균 효과는 양수지만 일부 조건의 신뢰구간이 0을 포함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9" t="str">
        <x:v>판정 기준</x:v>
      </x:c>
      <x:c r="B20" s="19"/>
      <x:c r="C20" s="19"/>
      <x:c r="D20" s="19"/>
      <x:c r="E20" s="19"/>
      <x:c r="F20" s="19"/>
      <x:c r="G20" s="19"/>
      <x:c r="H20" s="19"/>
    </x:row>
    <x:row r="21">
      <x:c r="A21" s="10" t="str">
        <x:v>최우선 적용</x:v>
      </x:c>
      <x:c r="B21" s="17" t="str">
        <x:v>6개 조건 모두에서 판매발생률·매출의 95% 신뢰구간 하한이 0 초과</x:v>
      </x:c>
      <x:c r="C21" s="17"/>
      <x:c r="D21" s="17"/>
      <x:c r="E21" s="17"/>
      <x:c r="F21" s="17"/>
      <x:c r="G21" s="17"/>
      <x:c r="H21" s="17"/>
    </x:row>
    <x:row r="22">
      <x:c r="A22" s="10" t="str">
        <x:v>파일럿</x:v>
      </x:c>
      <x:c r="B22" s="17" t="str">
        <x:v>6개 조건의 평균 효과는 모두 양수지만 일부 신뢰구간이 0을 포함</x:v>
      </x:c>
      <x:c r="C22" s="17"/>
      <x:c r="D22" s="17"/>
      <x:c r="E22" s="17"/>
      <x:c r="F22" s="17"/>
      <x:c r="G22" s="17"/>
      <x:c r="H22" s="17"/>
    </x:row>
    <x:row r="23">
      <x:c r="A23" s="10" t="str">
        <x:v>우선순위 하향</x:v>
      </x:c>
      <x:c r="B23" s="17" t="str">
        <x:v>일부 조건에서 판매발생률 또는 매출 평균 효과가 0 이하</x:v>
      </x:c>
      <x:c r="C23" s="17"/>
      <x:c r="D23" s="17"/>
      <x:c r="E23" s="17"/>
      <x:c r="F23" s="17"/>
      <x:c r="G23" s="17"/>
      <x:c r="H23" s="17"/>
    </x:row>
    <x:row r="25">
      <x:c r="A25" s="16" t="str">
        <x:v>해석: 최우선 적용은 비용 검토 후 가장 먼저 파일럿할 대상이다. 관찰자료이므로 즉시 전면 적용이나 순수 인과효과를 의미하지 않는다.</x:v>
      </x:c>
      <x:c r="B25" s="16"/>
      <x:c r="C25" s="16"/>
      <x:c r="D25" s="16"/>
      <x:c r="E25" s="16"/>
      <x:c r="F25" s="16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  <x:row r="27">
      <x:c r="A27" s="16"/>
      <x:c r="B27" s="16"/>
      <x:c r="C27" s="16"/>
      <x:c r="D27" s="16"/>
      <x:c r="E27" s="16"/>
      <x:c r="F27" s="16"/>
      <x:c r="G27" s="16"/>
      <x:c r="H27" s="16"/>
    </x:row>
  </x:sheetData>
  <x:mergeCells>
    <x:mergeCell ref="A1:H1"/>
    <x:mergeCell ref="A9:H9"/>
    <x:mergeCell ref="A20:H20"/>
    <x:mergeCell ref="A25:H27"/>
  </x:mergeCells>
  <x:conditionalFormatting sqref="G11:G17">
    <x:cfRule type="containsText" dxfId="0" priority="1" operator="containsText" text="최우선 적용"/>
    <x:cfRule type="containsText" dxfId="1" priority="2" operator="containsText" text="파일럿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58" hidden="0" customWidth="1"/>
  </x:cols>
  <x:sheetData>
    <x:row r="1">
      <x:c r="A1" s="22" t="str">
        <x:v>DEPARTMENT</x:v>
      </x:c>
      <x:c r="B1" s="23" t="str">
        <x:v>COMMODITY_DESC</x:v>
      </x:c>
      <x:c r="C1" s="23" t="str">
        <x:v>checks</x:v>
      </x:c>
      <x:c r="D1" s="23" t="str">
        <x:v>passed_checks</x:v>
      </x:c>
      <x:c r="E1" s="23" t="str">
        <x:v>positive_direction_checks</x:v>
      </x:c>
      <x:c r="F1" s="23" t="str">
        <x:v>min_sales_effect</x:v>
      </x:c>
      <x:c r="G1" s="23" t="str">
        <x:v>max_sales_effect</x:v>
      </x:c>
      <x:c r="H1" s="23" t="str">
        <x:v>min_revenue_effect</x:v>
      </x:c>
      <x:c r="I1" s="23" t="str">
        <x:v>max_revenue_effect</x:v>
      </x:c>
      <x:c r="J1" s="23" t="str">
        <x:v>min_products</x:v>
      </x:c>
      <x:c r="K1" s="23" t="str">
        <x:v>min_matched_pairs</x:v>
      </x:c>
      <x:c r="L1" s="23" t="str">
        <x:v>priority_score</x:v>
      </x:c>
      <x:c r="M1" s="23" t="str">
        <x:v>final_recommendation</x:v>
      </x:c>
      <x:c r="N1" s="24" t="str">
        <x:v>recommendation_reason</x:v>
      </x:c>
    </x:row>
    <x:row r="2">
      <x:c r="A2" s="25" t="str">
        <x:v>MEAT-PCKGD</x:v>
      </x:c>
      <x:c r="B2" s="26" t="str">
        <x:v>BACON</x:v>
      </x:c>
      <x:c r="C2" s="26" t="n">
        <x:v>6</x:v>
      </x:c>
      <x:c r="D2" s="26" t="n">
        <x:v>6</x:v>
      </x:c>
      <x:c r="E2" s="26" t="n">
        <x:v>6</x:v>
      </x:c>
      <x:c r="F2" s="26" t="n">
        <x:v>0.014445892200100249</x:v>
      </x:c>
      <x:c r="G2" s="26" t="n">
        <x:v>0.031603655228927066</x:v>
      </x:c>
      <x:c r="H2" s="26" t="n">
        <x:v>0.08016339463333334</x:v>
      </x:c>
      <x:c r="I2" s="26" t="n">
        <x:v>0.1367777373</x:v>
      </x:c>
      <x:c r="J2" s="26" t="n">
        <x:v>30</x:v>
      </x:c>
      <x:c r="K2" s="26" t="n">
        <x:v>4003</x:v>
      </x:c>
      <x:c r="L2" s="26" t="n">
        <x:v>0.7846153846153847</x:v>
      </x:c>
      <x:c r="M2" s="26" t="str">
        <x:v>최우선 적용</x:v>
      </x:c>
      <x:c r="N2" s="27" t="str">
        <x:v>±1·±2·±4주의 두 단독 방식 비교에서 판매발생률·매출 95% 신뢰구간 하한이 모두 0 초과</x:v>
      </x:c>
    </x:row>
    <x:row r="3">
      <x:c r="A3" s="25" t="str">
        <x:v>MEAT-PCKGD</x:v>
      </x:c>
      <x:c r="B3" s="26" t="str">
        <x:v>LUNCHMEAT</x:v>
      </x:c>
      <x:c r="C3" s="26" t="n">
        <x:v>6</x:v>
      </x:c>
      <x:c r="D3" s="26" t="n">
        <x:v>6</x:v>
      </x:c>
      <x:c r="E3" s="26" t="n">
        <x:v>6</x:v>
      </x:c>
      <x:c r="F3" s="26" t="n">
        <x:v>0.011176844774443102</x:v>
      </x:c>
      <x:c r="G3" s="26" t="n">
        <x:v>0.0159013295047354</x:v>
      </x:c>
      <x:c r="H3" s="26" t="n">
        <x:v>0.027972826250316454</x:v>
      </x:c>
      <x:c r="I3" s="26" t="n">
        <x:v>0.032822970817457206</x:v>
      </x:c>
      <x:c r="J3" s="26" t="n">
        <x:v>235</x:v>
      </x:c>
      <x:c r="K3" s="26" t="n">
        <x:v>5055</x:v>
      </x:c>
      <x:c r="L3" s="26" t="n">
        <x:v>0.6461538461538462</x:v>
      </x:c>
      <x:c r="M3" s="26" t="str">
        <x:v>최우선 적용</x:v>
      </x:c>
      <x:c r="N3" s="27" t="str">
        <x:v>±1·±2·±4주의 두 단독 방식 비교에서 판매발생률·매출 95% 신뢰구간 하한이 모두 0 초과</x:v>
      </x:c>
    </x:row>
    <x:row r="4">
      <x:c r="A4" s="25" t="str">
        <x:v>MEAT-PCKGD</x:v>
      </x:c>
      <x:c r="B4" s="26" t="str">
        <x:v>DINNER SAUSAGE</x:v>
      </x:c>
      <x:c r="C4" s="26" t="n">
        <x:v>6</x:v>
      </x:c>
      <x:c r="D4" s="26" t="n">
        <x:v>6</x:v>
      </x:c>
      <x:c r="E4" s="26" t="n">
        <x:v>6</x:v>
      </x:c>
      <x:c r="F4" s="26" t="n">
        <x:v>0.007740277918333732</x:v>
      </x:c>
      <x:c r="G4" s="26" t="n">
        <x:v>0.009640858097587692</x:v>
      </x:c>
      <x:c r="H4" s="26" t="n">
        <x:v>0.02469927151818182</x:v>
      </x:c>
      <x:c r="I4" s="26" t="n">
        <x:v>0.04747053538942308</x:v>
      </x:c>
      <x:c r="J4" s="26" t="n">
        <x:v>104</x:v>
      </x:c>
      <x:c r="K4" s="26" t="n">
        <x:v>6220</x:v>
      </x:c>
      <x:c r="L4" s="26" t="n">
        <x:v>0.6000000000000001</x:v>
      </x:c>
      <x:c r="M4" s="26" t="str">
        <x:v>최우선 적용</x:v>
      </x:c>
      <x:c r="N4" s="27" t="str">
        <x:v>±1·±2·±4주의 두 단독 방식 비교에서 판매발생률·매출 95% 신뢰구간 하한이 모두 0 초과</x:v>
      </x:c>
    </x:row>
    <x:row r="5">
      <x:c r="A5" s="25" t="str">
        <x:v>MEAT-PCKGD</x:v>
      </x:c>
      <x:c r="B5" s="26" t="str">
        <x:v>BREAKFAST SAUSAGE/SANDWICHES</x:v>
      </x:c>
      <x:c r="C5" s="26" t="n">
        <x:v>6</x:v>
      </x:c>
      <x:c r="D5" s="26" t="n">
        <x:v>5</x:v>
      </x:c>
      <x:c r="E5" s="26" t="n">
        <x:v>6</x:v>
      </x:c>
      <x:c r="F5" s="26" t="n">
        <x:v>0.010801137271896584</x:v>
      </x:c>
      <x:c r="G5" s="26" t="n">
        <x:v>0.02508055718013161</x:v>
      </x:c>
      <x:c r="H5" s="26" t="n">
        <x:v>0.03457677811764707</x:v>
      </x:c>
      <x:c r="I5" s="26" t="n">
        <x:v>0.07020434071044776</x:v>
      </x:c>
      <x:c r="J5" s="26" t="n">
        <x:v>68</x:v>
      </x:c>
      <x:c r="K5" s="26" t="n">
        <x:v>5081</x:v>
      </x:c>
      <x:c r="L5" s="26" t="n">
        <x:v>0.6923076923076923</x:v>
      </x:c>
      <x:c r="M5" s="26" t="str">
        <x:v>파일럿</x:v>
      </x:c>
      <x:c r="N5" s="27" t="str">
        <x:v>모든 조건에서 평균 효과는 양수지만 일부 조건의 신뢰구간이 0을 포함</x:v>
      </x:c>
    </x:row>
    <x:row r="6">
      <x:c r="A6" s="25" t="str">
        <x:v>GROCERY</x:v>
      </x:c>
      <x:c r="B6" s="26" t="str">
        <x:v>SOFT DRINKS</x:v>
      </x:c>
      <x:c r="C6" s="26" t="n">
        <x:v>6</x:v>
      </x:c>
      <x:c r="D6" s="26" t="n">
        <x:v>4</x:v>
      </x:c>
      <x:c r="E6" s="26" t="n">
        <x:v>6</x:v>
      </x:c>
      <x:c r="F6" s="26" t="n">
        <x:v>0.0027119728542273672</x:v>
      </x:c>
      <x:c r="G6" s="26" t="n">
        <x:v>0.013021790053726508</x:v>
      </x:c>
      <x:c r="H6" s="26" t="n">
        <x:v>0.005248626480289505</x:v>
      </x:c>
      <x:c r="I6" s="26" t="n">
        <x:v>0.04902672929732673</x:v>
      </x:c>
      <x:c r="J6" s="26" t="n">
        <x:v>801</x:v>
      </x:c>
      <x:c r="K6" s="26" t="n">
        <x:v>82393</x:v>
      </x:c>
      <x:c r="L6" s="26" t="n">
        <x:v>0.5384615384615385</x:v>
      </x:c>
      <x:c r="M6" s="26" t="str">
        <x:v>파일럿</x:v>
      </x:c>
      <x:c r="N6" s="27" t="str">
        <x:v>모든 조건에서 평균 효과는 양수지만 일부 조건의 신뢰구간이 0을 포함</x:v>
      </x:c>
    </x:row>
    <x:row r="7">
      <x:c r="A7" s="25" t="str">
        <x:v>PASTRY</x:v>
      </x:c>
      <x:c r="B7" s="26" t="str">
        <x:v>PIES</x:v>
      </x:c>
      <x:c r="C7" s="26" t="n">
        <x:v>6</x:v>
      </x:c>
      <x:c r="D7" s="26" t="n">
        <x:v>3</x:v>
      </x:c>
      <x:c r="E7" s="26" t="n">
        <x:v>6</x:v>
      </x:c>
      <x:c r="F7" s="26" t="n">
        <x:v>0.003633003898548769</x:v>
      </x:c>
      <x:c r="G7" s="26" t="n">
        <x:v>0.031810867864631304</x:v>
      </x:c>
      <x:c r="H7" s="26" t="n">
        <x:v>0.0370799191060606</x:v>
      </x:c>
      <x:c r="I7" s="26" t="n">
        <x:v>0.17646612756756755</x:v>
      </x:c>
      <x:c r="J7" s="26" t="n">
        <x:v>33</x:v>
      </x:c>
      <x:c r="K7" s="26" t="n">
        <x:v>744</x:v>
      </x:c>
      <x:c r="L7" s="26" t="n">
        <x:v>0.7538461538461538</x:v>
      </x:c>
      <x:c r="M7" s="26" t="str">
        <x:v>파일럿</x:v>
      </x:c>
      <x:c r="N7" s="27" t="str">
        <x:v>모든 조건에서 평균 효과는 양수지만 일부 조건의 신뢰구간이 0을 포함</x:v>
      </x:c>
    </x:row>
    <x:row r="8">
      <x:c r="A8" s="28" t="str">
        <x:v>GROCERY</x:v>
      </x:c>
      <x:c r="B8" s="29" t="str">
        <x:v>WAREHOUSE SNACKS</x:v>
      </x:c>
      <x:c r="C8" s="29" t="n">
        <x:v>6</x:v>
      </x:c>
      <x:c r="D8" s="29" t="n">
        <x:v>2</x:v>
      </x:c>
      <x:c r="E8" s="29" t="n">
        <x:v>6</x:v>
      </x:c>
      <x:c r="F8" s="29" t="n">
        <x:v>0.00032515914628767907</x:v>
      </x:c>
      <x:c r="G8" s="29" t="n">
        <x:v>0.018484956965983693</x:v>
      </x:c>
      <x:c r="H8" s="29" t="n">
        <x:v>0.003571373698901098</x:v>
      </x:c>
      <x:c r="I8" s="29" t="n">
        <x:v>0.024169490581818175</x:v>
      </x:c>
      <x:c r="J8" s="29" t="n">
        <x:v>91</x:v>
      </x:c>
      <x:c r="K8" s="29" t="n">
        <x:v>2292</x:v>
      </x:c>
      <x:c r="L8" s="29" t="n">
        <x:v>0.5846153846153846</x:v>
      </x:c>
      <x:c r="M8" s="29" t="str">
        <x:v>파일럿</x:v>
      </x:c>
      <x:c r="N8" s="30" t="str">
        <x:v>모든 조건에서 평균 효과는 양수지만 일부 조건의 신뢰구간이 0을 포함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22" t="str">
        <x:v>DEPARTMENT</x:v>
      </x:c>
      <x:c r="B1" s="23" t="str">
        <x:v>COMMODITY_DESC</x:v>
      </x:c>
      <x:c r="C1" s="23" t="str">
        <x:v>tolerance_weeks</x:v>
      </x:c>
      <x:c r="D1" s="23" t="str">
        <x:v>comparison</x:v>
      </x:c>
      <x:c r="E1" s="23" t="str">
        <x:v>products</x:v>
      </x:c>
      <x:c r="F1" s="23" t="str">
        <x:v>matched_pairs</x:v>
      </x:c>
      <x:c r="G1" s="23" t="str">
        <x:v>sales_incidence_effect</x:v>
      </x:c>
      <x:c r="H1" s="23" t="str">
        <x:v>sales_ci_low</x:v>
      </x:c>
      <x:c r="I1" s="23" t="str">
        <x:v>sales_ci_high</x:v>
      </x:c>
      <x:c r="J1" s="23" t="str">
        <x:v>sales_p_one_sided</x:v>
      </x:c>
      <x:c r="K1" s="23" t="str">
        <x:v>revenue_effect</x:v>
      </x:c>
      <x:c r="L1" s="23" t="str">
        <x:v>revenue_ci_low</x:v>
      </x:c>
      <x:c r="M1" s="23" t="str">
        <x:v>revenue_ci_high</x:v>
      </x:c>
      <x:c r="N1" s="23" t="str">
        <x:v>revenue_p_one_sided</x:v>
      </x:c>
      <x:c r="O1" s="23" t="str">
        <x:v>sufficient_sample</x:v>
      </x:c>
      <x:c r="P1" s="23" t="str">
        <x:v>sales_pass</x:v>
      </x:c>
      <x:c r="Q1" s="23" t="str">
        <x:v>revenue_pass</x:v>
      </x:c>
      <x:c r="R1" s="23" t="str">
        <x:v>window_comparison_pass</x:v>
      </x:c>
      <x:c r="S1" s="24" t="str">
        <x:v>direction_positive</x:v>
      </x:c>
    </x:row>
    <x:row r="2">
      <x:c r="A2" s="25" t="str">
        <x:v>GROCERY</x:v>
      </x:c>
      <x:c r="B2" s="26" t="str">
        <x:v>SOFT DRINKS</x:v>
      </x:c>
      <x:c r="C2" s="26" t="n">
        <x:v>1</x:v>
      </x:c>
      <x:c r="D2" s="26" t="str">
        <x:v>진열+전단 - 전단만</x:v>
      </x:c>
      <x:c r="E2" s="26" t="n">
        <x:v>801</x:v>
      </x:c>
      <x:c r="F2" s="26" t="n">
        <x:v>82393</x:v>
      </x:c>
      <x:c r="G2" s="35" t="n">
        <x:v>0.00348215295190186</x:v>
      </x:c>
      <x:c r="H2" s="35" t="n">
        <x:v>-0.002163733809161958</x:v>
      </x:c>
      <x:c r="I2" s="35" t="n">
        <x:v>0.009128039712965677</x:v>
      </x:c>
      <x:c r="J2" s="26" t="n">
        <x:v>0.11336059392605562</x:v>
      </x:c>
      <x:c r="K2" s="37" t="n">
        <x:v>0.01177561110836454</x:v>
      </x:c>
      <x:c r="L2" s="37" t="n">
        <x:v>-0.01637216469496717</x:v>
      </x:c>
      <x:c r="M2" s="37" t="n">
        <x:v>0.039923386911696244</x:v>
      </x:c>
      <x:c r="N2" s="26" t="n">
        <x:v>0.20611796128349652</x:v>
      </x:c>
      <x:c r="O2" s="31" t="b">
        <x:v>1</x:v>
      </x:c>
      <x:c r="P2" s="31" t="b">
        <x:v>0</x:v>
      </x:c>
      <x:c r="Q2" s="31" t="b">
        <x:v>0</x:v>
      </x:c>
      <x:c r="R2" s="31" t="b">
        <x:v>0</x:v>
      </x:c>
      <x:c r="S2" s="32" t="b">
        <x:v>1</x:v>
      </x:c>
    </x:row>
    <x:row r="3">
      <x:c r="A3" s="25" t="str">
        <x:v>GROCERY</x:v>
      </x:c>
      <x:c r="B3" s="26" t="str">
        <x:v>SOFT DRINKS</x:v>
      </x:c>
      <x:c r="C3" s="26" t="n">
        <x:v>1</x:v>
      </x:c>
      <x:c r="D3" s="26" t="str">
        <x:v>진열+전단 - 진열만</x:v>
      </x:c>
      <x:c r="E3" s="26" t="n">
        <x:v>1000</x:v>
      </x:c>
      <x:c r="F3" s="26" t="n">
        <x:v>85212</x:v>
      </x:c>
      <x:c r="G3" s="35" t="n">
        <x:v>0.012822129150647175</x:v>
      </x:c>
      <x:c r="H3" s="35" t="n">
        <x:v>0.008021504880302784</x:v>
      </x:c>
      <x:c r="I3" s="35" t="n">
        <x:v>0.017622753420991566</x:v>
      </x:c>
      <x:c r="J3" s="26" t="n">
        <x:v>8.248265636692098e-8</x:v>
      </x:c>
      <x:c r="K3" s="37" t="n">
        <x:v>0.046411270873999995</x:v>
      </x:c>
      <x:c r="L3" s="37" t="n">
        <x:v>0.03144054989083981</x:v>
      </x:c>
      <x:c r="M3" s="37" t="n">
        <x:v>0.06138199185716018</x:v>
      </x:c>
      <x:c r="N3" s="26" t="n">
        <x:v>6.150644126873243e-10</x:v>
      </x:c>
      <x:c r="O3" s="31" t="b">
        <x:v>1</x:v>
      </x:c>
      <x:c r="P3" s="31" t="b">
        <x:v>1</x:v>
      </x:c>
      <x:c r="Q3" s="31" t="b">
        <x:v>1</x:v>
      </x:c>
      <x:c r="R3" s="31" t="b">
        <x:v>1</x:v>
      </x:c>
      <x:c r="S3" s="32" t="b">
        <x:v>1</x:v>
      </x:c>
    </x:row>
    <x:row r="4">
      <x:c r="A4" s="25" t="str">
        <x:v>GROCERY</x:v>
      </x:c>
      <x:c r="B4" s="26" t="str">
        <x:v>SOFT DRINKS</x:v>
      </x:c>
      <x:c r="C4" s="26" t="n">
        <x:v>2</x:v>
      </x:c>
      <x:c r="D4" s="26" t="str">
        <x:v>진열+전단 - 전단만</x:v>
      </x:c>
      <x:c r="E4" s="26" t="n">
        <x:v>829</x:v>
      </x:c>
      <x:c r="F4" s="26" t="n">
        <x:v>142723</x:v>
      </x:c>
      <x:c r="G4" s="35" t="n">
        <x:v>0.0027119728542273672</x:v>
      </x:c>
      <x:c r="H4" s="35" t="n">
        <x:v>-0.0024844879017815002</x:v>
      </x:c>
      <x:c r="I4" s="35" t="n">
        <x:v>0.007908433610236234</x:v>
      </x:c>
      <x:c r="J4" s="26" t="n">
        <x:v>0.15317724230901653</x:v>
      </x:c>
      <x:c r="K4" s="37" t="n">
        <x:v>0.005248626480289505</x:v>
      </x:c>
      <x:c r="L4" s="37" t="n">
        <x:v>-0.020160694672297343</x:v>
      </x:c>
      <x:c r="M4" s="37" t="n">
        <x:v>0.030657947632876353</x:v>
      </x:c>
      <x:c r="N4" s="26" t="n">
        <x:v>0.34278890721090527</x:v>
      </x:c>
      <x:c r="O4" s="31" t="b">
        <x:v>1</x:v>
      </x:c>
      <x:c r="P4" s="31" t="b">
        <x:v>0</x:v>
      </x:c>
      <x:c r="Q4" s="31" t="b">
        <x:v>0</x:v>
      </x:c>
      <x:c r="R4" s="31" t="b">
        <x:v>0</x:v>
      </x:c>
      <x:c r="S4" s="32" t="b">
        <x:v>1</x:v>
      </x:c>
    </x:row>
    <x:row r="5">
      <x:c r="A5" s="25" t="str">
        <x:v>GROCERY</x:v>
      </x:c>
      <x:c r="B5" s="26" t="str">
        <x:v>SOFT DRINKS</x:v>
      </x:c>
      <x:c r="C5" s="26" t="n">
        <x:v>2</x:v>
      </x:c>
      <x:c r="D5" s="26" t="str">
        <x:v>진열+전단 - 진열만</x:v>
      </x:c>
      <x:c r="E5" s="26" t="n">
        <x:v>1010</x:v>
      </x:c>
      <x:c r="F5" s="26" t="n">
        <x:v>106499</x:v>
      </x:c>
      <x:c r="G5" s="35" t="n">
        <x:v>0.013021790053726508</x:v>
      </x:c>
      <x:c r="H5" s="35" t="n">
        <x:v>0.008670332457298764</x:v>
      </x:c>
      <x:c r="I5" s="35" t="n">
        <x:v>0.01737324765015425</x:v>
      </x:c>
      <x:c r="J5" s="26" t="n">
        <x:v>2.2412831211476467e-9</x:v>
      </x:c>
      <x:c r="K5" s="37" t="n">
        <x:v>0.04902672929732673</x:v>
      </x:c>
      <x:c r="L5" s="37" t="n">
        <x:v>0.033520082980613736</x:v>
      </x:c>
      <x:c r="M5" s="37" t="n">
        <x:v>0.06453337561403973</x:v>
      </x:c>
      <x:c r="N5" s="26" t="n">
        <x:v>2.880184249896918e-10</x:v>
      </x:c>
      <x:c r="O5" s="31" t="b">
        <x:v>1</x:v>
      </x:c>
      <x:c r="P5" s="31" t="b">
        <x:v>1</x:v>
      </x:c>
      <x:c r="Q5" s="31" t="b">
        <x:v>1</x:v>
      </x:c>
      <x:c r="R5" s="31" t="b">
        <x:v>1</x:v>
      </x:c>
      <x:c r="S5" s="32" t="b">
        <x:v>1</x:v>
      </x:c>
    </x:row>
    <x:row r="6">
      <x:c r="A6" s="25" t="str">
        <x:v>GROCERY</x:v>
      </x:c>
      <x:c r="B6" s="26" t="str">
        <x:v>SOFT DRINKS</x:v>
      </x:c>
      <x:c r="C6" s="26" t="n">
        <x:v>4</x:v>
      </x:c>
      <x:c r="D6" s="26" t="str">
        <x:v>진열+전단 - 전단만</x:v>
      </x:c>
      <x:c r="E6" s="26" t="n">
        <x:v>878</x:v>
      </x:c>
      <x:c r="F6" s="26" t="n">
        <x:v>218550</x:v>
      </x:c>
      <x:c r="G6" s="35" t="n">
        <x:v>0.005432520503566299</x:v>
      </x:c>
      <x:c r="H6" s="35" t="n">
        <x:v>0.0023007226846149097</x:v>
      </x:c>
      <x:c r="I6" s="35" t="n">
        <x:v>0.008564318322517687</x:v>
      </x:c>
      <x:c r="J6" s="26" t="n">
        <x:v>0.00033707581665711703</x:v>
      </x:c>
      <x:c r="K6" s="37" t="n">
        <x:v>0.02094913895034168</x:v>
      </x:c>
      <x:c r="L6" s="37" t="n">
        <x:v>0.008704047558073327</x:v>
      </x:c>
      <x:c r="M6" s="37" t="n">
        <x:v>0.03319423034261003</x:v>
      </x:c>
      <x:c r="N6" s="26" t="n">
        <x:v>0.00039940632998023475</x:v>
      </x:c>
      <x:c r="O6" s="31" t="b">
        <x:v>1</x:v>
      </x:c>
      <x:c r="P6" s="31" t="b">
        <x:v>1</x:v>
      </x:c>
      <x:c r="Q6" s="31" t="b">
        <x:v>1</x:v>
      </x:c>
      <x:c r="R6" s="31" t="b">
        <x:v>1</x:v>
      </x:c>
      <x:c r="S6" s="32" t="b">
        <x:v>1</x:v>
      </x:c>
    </x:row>
    <x:row r="7">
      <x:c r="A7" s="25" t="str">
        <x:v>GROCERY</x:v>
      </x:c>
      <x:c r="B7" s="26" t="str">
        <x:v>SOFT DRINKS</x:v>
      </x:c>
      <x:c r="C7" s="26" t="n">
        <x:v>4</x:v>
      </x:c>
      <x:c r="D7" s="26" t="str">
        <x:v>진열+전단 - 진열만</x:v>
      </x:c>
      <x:c r="E7" s="26" t="n">
        <x:v>1019</x:v>
      </x:c>
      <x:c r="F7" s="26" t="n">
        <x:v>131657</x:v>
      </x:c>
      <x:c r="G7" s="35" t="n">
        <x:v>0.012141477144503778</x:v>
      </x:c>
      <x:c r="H7" s="35" t="n">
        <x:v>0.008161483278209595</x:v>
      </x:c>
      <x:c r="I7" s="35" t="n">
        <x:v>0.01612147101079796</x:v>
      </x:c>
      <x:c r="J7" s="26" t="n">
        <x:v>1.1209802104277503e-9</x:v>
      </x:c>
      <x:c r="K7" s="37" t="n">
        <x:v>0.04497432176135427</x:v>
      </x:c>
      <x:c r="L7" s="37" t="n">
        <x:v>0.03084495017903783</x:v>
      </x:c>
      <x:c r="M7" s="37" t="n">
        <x:v>0.05910369334367071</x:v>
      </x:c>
      <x:c r="N7" s="26" t="n">
        <x:v>2.2053527313739447e-10</x:v>
      </x:c>
      <x:c r="O7" s="31" t="b">
        <x:v>1</x:v>
      </x:c>
      <x:c r="P7" s="31" t="b">
        <x:v>1</x:v>
      </x:c>
      <x:c r="Q7" s="31" t="b">
        <x:v>1</x:v>
      </x:c>
      <x:c r="R7" s="31" t="b">
        <x:v>1</x:v>
      </x:c>
      <x:c r="S7" s="32" t="b">
        <x:v>1</x:v>
      </x:c>
    </x:row>
    <x:row r="8">
      <x:c r="A8" s="25" t="str">
        <x:v>GROCERY</x:v>
      </x:c>
      <x:c r="B8" s="26" t="str">
        <x:v>WAREHOUSE SNACKS</x:v>
      </x:c>
      <x:c r="C8" s="26" t="n">
        <x:v>1</x:v>
      </x:c>
      <x:c r="D8" s="26" t="str">
        <x:v>진열+전단 - 전단만</x:v>
      </x:c>
      <x:c r="E8" s="26" t="n">
        <x:v>91</x:v>
      </x:c>
      <x:c r="F8" s="26" t="n">
        <x:v>2292</x:v>
      </x:c>
      <x:c r="G8" s="35" t="n">
        <x:v>0.00032515914628767907</x:v>
      </x:c>
      <x:c r="H8" s="35" t="n">
        <x:v>-0.009409099160859118</x:v>
      </x:c>
      <x:c r="I8" s="35" t="n">
        <x:v>0.010059417453434475</x:v>
      </x:c>
      <x:c r="J8" s="26" t="n">
        <x:v>0.47389948540128146</x:v>
      </x:c>
      <x:c r="K8" s="37" t="n">
        <x:v>0.003571373698901098</x:v>
      </x:c>
      <x:c r="L8" s="37" t="n">
        <x:v>-0.010158771235624217</x:v>
      </x:c>
      <x:c r="M8" s="37" t="n">
        <x:v>0.017301518633426414</x:v>
      </x:c>
      <x:c r="N8" s="26" t="n">
        <x:v>0.3050890425169074</x:v>
      </x:c>
      <x:c r="O8" s="31" t="b">
        <x:v>1</x:v>
      </x:c>
      <x:c r="P8" s="31" t="b">
        <x:v>0</x:v>
      </x:c>
      <x:c r="Q8" s="31" t="b">
        <x:v>0</x:v>
      </x:c>
      <x:c r="R8" s="31" t="b">
        <x:v>0</x:v>
      </x:c>
      <x:c r="S8" s="32" t="b">
        <x:v>1</x:v>
      </x:c>
    </x:row>
    <x:row r="9">
      <x:c r="A9" s="25" t="str">
        <x:v>GROCERY</x:v>
      </x:c>
      <x:c r="B9" s="26" t="str">
        <x:v>WAREHOUSE SNACKS</x:v>
      </x:c>
      <x:c r="C9" s="26" t="n">
        <x:v>1</x:v>
      </x:c>
      <x:c r="D9" s="26" t="str">
        <x:v>진열+전단 - 진열만</x:v>
      </x:c>
      <x:c r="E9" s="26" t="n">
        <x:v>120</x:v>
      </x:c>
      <x:c r="F9" s="26" t="n">
        <x:v>10897</x:v>
      </x:c>
      <x:c r="G9" s="35" t="n">
        <x:v>0.015057819801481279</x:v>
      </x:c>
      <x:c r="H9" s="35" t="n">
        <x:v>0.005712558314161774</x:v>
      </x:c>
      <x:c r="I9" s="35" t="n">
        <x:v>0.024403081288800782</x:v>
      </x:c>
      <x:c r="J9" s="26" t="n">
        <x:v>0.0007939888994182409</x:v>
      </x:c>
      <x:c r="K9" s="37" t="n">
        <x:v>0.012205376898333333</x:v>
      </x:c>
      <x:c r="L9" s="37" t="n">
        <x:v>-0.006946696146619557</x:v>
      </x:c>
      <x:c r="M9" s="37" t="n">
        <x:v>0.03135744994328622</x:v>
      </x:c>
      <x:c r="N9" s="26" t="n">
        <x:v>0.1058172646904431</x:v>
      </x:c>
      <x:c r="O9" s="31" t="b">
        <x:v>1</x:v>
      </x:c>
      <x:c r="P9" s="31" t="b">
        <x:v>1</x:v>
      </x:c>
      <x:c r="Q9" s="31" t="b">
        <x:v>0</x:v>
      </x:c>
      <x:c r="R9" s="31" t="b">
        <x:v>0</x:v>
      </x:c>
      <x:c r="S9" s="32" t="b">
        <x:v>1</x:v>
      </x:c>
    </x:row>
    <x:row r="10">
      <x:c r="A10" s="25" t="str">
        <x:v>GROCERY</x:v>
      </x:c>
      <x:c r="B10" s="26" t="str">
        <x:v>WAREHOUSE SNACKS</x:v>
      </x:c>
      <x:c r="C10" s="26" t="n">
        <x:v>2</x:v>
      </x:c>
      <x:c r="D10" s="26" t="str">
        <x:v>진열+전단 - 전단만</x:v>
      </x:c>
      <x:c r="E10" s="26" t="n">
        <x:v>93</x:v>
      </x:c>
      <x:c r="F10" s="26" t="n">
        <x:v>2309</x:v>
      </x:c>
      <x:c r="G10" s="35" t="n">
        <x:v>0.0029295336039712</x:v>
      </x:c>
      <x:c r="H10" s="35" t="n">
        <x:v>-0.0072685781873392365</x:v>
      </x:c>
      <x:c r="I10" s="35" t="n">
        <x:v>0.013127645395281638</x:v>
      </x:c>
      <x:c r="J10" s="26" t="n">
        <x:v>0.2867057929445753</x:v>
      </x:c>
      <x:c r="K10" s="37" t="n">
        <x:v>0.011302557705376344</x:v>
      </x:c>
      <x:c r="L10" s="37" t="n">
        <x:v>-0.005951418310248044</x:v>
      </x:c>
      <x:c r="M10" s="37" t="n">
        <x:v>0.028556533721000733</x:v>
      </x:c>
      <x:c r="N10" s="26" t="n">
        <x:v>0.09958205160608463</x:v>
      </x:c>
      <x:c r="O10" s="31" t="b">
        <x:v>1</x:v>
      </x:c>
      <x:c r="P10" s="31" t="b">
        <x:v>0</x:v>
      </x:c>
      <x:c r="Q10" s="31" t="b">
        <x:v>0</x:v>
      </x:c>
      <x:c r="R10" s="31" t="b">
        <x:v>0</x:v>
      </x:c>
      <x:c r="S10" s="32" t="b">
        <x:v>1</x:v>
      </x:c>
    </x:row>
    <x:row r="11">
      <x:c r="A11" s="25" t="str">
        <x:v>GROCERY</x:v>
      </x:c>
      <x:c r="B11" s="26" t="str">
        <x:v>WAREHOUSE SNACKS</x:v>
      </x:c>
      <x:c r="C11" s="26" t="n">
        <x:v>2</x:v>
      </x:c>
      <x:c r="D11" s="26" t="str">
        <x:v>진열+전단 - 진열만</x:v>
      </x:c>
      <x:c r="E11" s="26" t="n">
        <x:v>120</x:v>
      </x:c>
      <x:c r="F11" s="26" t="n">
        <x:v>12954</x:v>
      </x:c>
      <x:c r="G11" s="35" t="n">
        <x:v>0.01784657792664477</x:v>
      </x:c>
      <x:c r="H11" s="35" t="n">
        <x:v>0.008153186168382617</x:v>
      </x:c>
      <x:c r="I11" s="35" t="n">
        <x:v>0.027539969684906924</x:v>
      </x:c>
      <x:c r="J11" s="26" t="n">
        <x:v>0.0001539441072914564</x:v>
      </x:c>
      <x:c r="K11" s="37" t="n">
        <x:v>0.02071088864833333</x:v>
      </x:c>
      <x:c r="L11" s="37" t="n">
        <x:v>-0.002748285053790503</x:v>
      </x:c>
      <x:c r="M11" s="37" t="n">
        <x:v>0.044170062350457166</x:v>
      </x:c>
      <x:c r="N11" s="26" t="n">
        <x:v>0.04178098637323835</x:v>
      </x:c>
      <x:c r="O11" s="31" t="b">
        <x:v>1</x:v>
      </x:c>
      <x:c r="P11" s="31" t="b">
        <x:v>1</x:v>
      </x:c>
      <x:c r="Q11" s="31" t="b">
        <x:v>0</x:v>
      </x:c>
      <x:c r="R11" s="31" t="b">
        <x:v>0</x:v>
      </x:c>
      <x:c r="S11" s="32" t="b">
        <x:v>1</x:v>
      </x:c>
    </x:row>
    <x:row r="12">
      <x:c r="A12" s="25" t="str">
        <x:v>GROCERY</x:v>
      </x:c>
      <x:c r="B12" s="26" t="str">
        <x:v>WAREHOUSE SNACKS</x:v>
      </x:c>
      <x:c r="C12" s="26" t="n">
        <x:v>4</x:v>
      </x:c>
      <x:c r="D12" s="26" t="str">
        <x:v>진열+전단 - 전단만</x:v>
      </x:c>
      <x:c r="E12" s="26" t="n">
        <x:v>110</x:v>
      </x:c>
      <x:c r="F12" s="26" t="n">
        <x:v>7773</x:v>
      </x:c>
      <x:c r="G12" s="35" t="n">
        <x:v>0.015825637554805243</x:v>
      </x:c>
      <x:c r="H12" s="35" t="n">
        <x:v>0.006081875227727407</x:v>
      </x:c>
      <x:c r="I12" s="35" t="n">
        <x:v>0.02556939988188308</x:v>
      </x:c>
      <x:c r="J12" s="26" t="n">
        <x:v>0.0007277931003836725</x:v>
      </x:c>
      <x:c r="K12" s="37" t="n">
        <x:v>0.024169490581818175</x:v>
      </x:c>
      <x:c r="L12" s="37" t="n">
        <x:v>0.009365143730756614</x:v>
      </x:c>
      <x:c r="M12" s="37" t="n">
        <x:v>0.038973837432879736</x:v>
      </x:c>
      <x:c r="N12" s="26" t="n">
        <x:v>0.000687413106281454</x:v>
      </x:c>
      <x:c r="O12" s="31" t="b">
        <x:v>1</x:v>
      </x:c>
      <x:c r="P12" s="31" t="b">
        <x:v>1</x:v>
      </x:c>
      <x:c r="Q12" s="31" t="b">
        <x:v>1</x:v>
      </x:c>
      <x:c r="R12" s="31" t="b">
        <x:v>1</x:v>
      </x:c>
      <x:c r="S12" s="32" t="b">
        <x:v>1</x:v>
      </x:c>
    </x:row>
    <x:row r="13">
      <x:c r="A13" s="25" t="str">
        <x:v>GROCERY</x:v>
      </x:c>
      <x:c r="B13" s="26" t="str">
        <x:v>WAREHOUSE SNACKS</x:v>
      </x:c>
      <x:c r="C13" s="26" t="n">
        <x:v>4</x:v>
      </x:c>
      <x:c r="D13" s="26" t="str">
        <x:v>진열+전단 - 진열만</x:v>
      </x:c>
      <x:c r="E13" s="26" t="n">
        <x:v>120</x:v>
      </x:c>
      <x:c r="F13" s="26" t="n">
        <x:v>14354</x:v>
      </x:c>
      <x:c r="G13" s="35" t="n">
        <x:v>0.018484956965983693</x:v>
      </x:c>
      <x:c r="H13" s="35" t="n">
        <x:v>0.00912240038646592</x:v>
      </x:c>
      <x:c r="I13" s="35" t="n">
        <x:v>0.027847513545501468</x:v>
      </x:c>
      <x:c r="J13" s="26" t="n">
        <x:v>0.000054479178680330776</x:v>
      </x:c>
      <x:c r="K13" s="37" t="n">
        <x:v>0.020450939501666668</x:v>
      </x:c>
      <x:c r="L13" s="37" t="n">
        <x:v>0.001484714223724943</x:v>
      </x:c>
      <x:c r="M13" s="37" t="n">
        <x:v>0.039417164779608396</x:v>
      </x:c>
      <x:c r="N13" s="26" t="n">
        <x:v>0.017281873169060744</x:v>
      </x:c>
      <x:c r="O13" s="31" t="b">
        <x:v>1</x:v>
      </x:c>
      <x:c r="P13" s="31" t="b">
        <x:v>1</x:v>
      </x:c>
      <x:c r="Q13" s="31" t="b">
        <x:v>1</x:v>
      </x:c>
      <x:c r="R13" s="31" t="b">
        <x:v>1</x:v>
      </x:c>
      <x:c r="S13" s="32" t="b">
        <x:v>1</x:v>
      </x:c>
    </x:row>
    <x:row r="14">
      <x:c r="A14" s="25" t="str">
        <x:v>MEAT-PCKGD</x:v>
      </x:c>
      <x:c r="B14" s="26" t="str">
        <x:v>BACON</x:v>
      </x:c>
      <x:c r="C14" s="26" t="n">
        <x:v>1</x:v>
      </x:c>
      <x:c r="D14" s="26" t="str">
        <x:v>진열+전단 - 전단만</x:v>
      </x:c>
      <x:c r="E14" s="26" t="n">
        <x:v>30</x:v>
      </x:c>
      <x:c r="F14" s="26" t="n">
        <x:v>4003</x:v>
      </x:c>
      <x:c r="G14" s="35" t="n">
        <x:v>0.029933003002201072</x:v>
      </x:c>
      <x:c r="H14" s="35" t="n">
        <x:v>0.006946815810975213</x:v>
      </x:c>
      <x:c r="I14" s="35" t="n">
        <x:v>0.05291919019342693</x:v>
      </x:c>
      <x:c r="J14" s="26" t="n">
        <x:v>0.005350021404822835</x:v>
      </x:c>
      <x:c r="K14" s="37" t="n">
        <x:v>0.1367777373</x:v>
      </x:c>
      <x:c r="L14" s="37" t="n">
        <x:v>0.01715021412925606</x:v>
      </x:c>
      <x:c r="M14" s="37" t="n">
        <x:v>0.25640526047074397</x:v>
      </x:c>
      <x:c r="N14" s="26" t="n">
        <x:v>0.012513285045981667</x:v>
      </x:c>
      <x:c r="O14" s="31" t="b">
        <x:v>1</x:v>
      </x:c>
      <x:c r="P14" s="31" t="b">
        <x:v>1</x:v>
      </x:c>
      <x:c r="Q14" s="31" t="b">
        <x:v>1</x:v>
      </x:c>
      <x:c r="R14" s="31" t="b">
        <x:v>1</x:v>
      </x:c>
      <x:c r="S14" s="32" t="b">
        <x:v>1</x:v>
      </x:c>
    </x:row>
    <x:row r="15">
      <x:c r="A15" s="25" t="str">
        <x:v>MEAT-PCKGD</x:v>
      </x:c>
      <x:c r="B15" s="26" t="str">
        <x:v>BACON</x:v>
      </x:c>
      <x:c r="C15" s="26" t="n">
        <x:v>1</x:v>
      </x:c>
      <x:c r="D15" s="26" t="str">
        <x:v>진열+전단 - 진열만</x:v>
      </x:c>
      <x:c r="E15" s="26" t="n">
        <x:v>80</x:v>
      </x:c>
      <x:c r="F15" s="26" t="n">
        <x:v>6672</x:v>
      </x:c>
      <x:c r="G15" s="35" t="n">
        <x:v>0.0281065721953616</x:v>
      </x:c>
      <x:c r="H15" s="35" t="n">
        <x:v>0.012460286490982412</x:v>
      </x:c>
      <x:c r="I15" s="35" t="n">
        <x:v>0.04375285789974079</x:v>
      </x:c>
      <x:c r="J15" s="26" t="n">
        <x:v>0.00021504891087347646</x:v>
      </x:c>
      <x:c r="K15" s="37" t="n">
        <x:v>0.12165753655749997</x:v>
      </x:c>
      <x:c r="L15" s="37" t="n">
        <x:v>0.03435539546009149</x:v>
      </x:c>
      <x:c r="M15" s="37" t="n">
        <x:v>0.20895967765490847</x:v>
      </x:c>
      <x:c r="N15" s="26" t="n">
        <x:v>0.0031542033306326245</x:v>
      </x:c>
      <x:c r="O15" s="31" t="b">
        <x:v>1</x:v>
      </x:c>
      <x:c r="P15" s="31" t="b">
        <x:v>1</x:v>
      </x:c>
      <x:c r="Q15" s="31" t="b">
        <x:v>1</x:v>
      </x:c>
      <x:c r="R15" s="31" t="b">
        <x:v>1</x:v>
      </x:c>
      <x:c r="S15" s="32" t="b">
        <x:v>1</x:v>
      </x:c>
    </x:row>
    <x:row r="16">
      <x:c r="A16" s="25" t="str">
        <x:v>MEAT-PCKGD</x:v>
      </x:c>
      <x:c r="B16" s="26" t="str">
        <x:v>BACON</x:v>
      </x:c>
      <x:c r="C16" s="26" t="n">
        <x:v>2</x:v>
      </x:c>
      <x:c r="D16" s="26" t="str">
        <x:v>진열+전단 - 전단만</x:v>
      </x:c>
      <x:c r="E16" s="26" t="n">
        <x:v>51</x:v>
      </x:c>
      <x:c r="F16" s="26" t="n">
        <x:v>6958</x:v>
      </x:c>
      <x:c r="G16" s="35" t="n">
        <x:v>0.0226223059105926</x:v>
      </x:c>
      <x:c r="H16" s="35" t="n">
        <x:v>0.008265057267513158</x:v>
      </x:c>
      <x:c r="I16" s="35" t="n">
        <x:v>0.036979554553672044</x:v>
      </x:c>
      <x:c r="J16" s="26" t="n">
        <x:v>0.0010064717774182655</x:v>
      </x:c>
      <x:c r="K16" s="37" t="n">
        <x:v>0.12737150068627454</x:v>
      </x:c>
      <x:c r="L16" s="37" t="n">
        <x:v>0.044386807855973265</x:v>
      </x:c>
      <x:c r="M16" s="37" t="n">
        <x:v>0.2103561935165758</x:v>
      </x:c>
      <x:c r="N16" s="26" t="n">
        <x:v>0.0013132927648483014</x:v>
      </x:c>
      <x:c r="O16" s="31" t="b">
        <x:v>1</x:v>
      </x:c>
      <x:c r="P16" s="31" t="b">
        <x:v>1</x:v>
      </x:c>
      <x:c r="Q16" s="31" t="b">
        <x:v>1</x:v>
      </x:c>
      <x:c r="R16" s="31" t="b">
        <x:v>1</x:v>
      </x:c>
      <x:c r="S16" s="32" t="b">
        <x:v>1</x:v>
      </x:c>
    </x:row>
    <x:row r="17">
      <x:c r="A17" s="25" t="str">
        <x:v>MEAT-PCKGD</x:v>
      </x:c>
      <x:c r="B17" s="26" t="str">
        <x:v>BACON</x:v>
      </x:c>
      <x:c r="C17" s="26" t="n">
        <x:v>2</x:v>
      </x:c>
      <x:c r="D17" s="26" t="str">
        <x:v>진열+전단 - 진열만</x:v>
      </x:c>
      <x:c r="E17" s="26" t="n">
        <x:v>80</x:v>
      </x:c>
      <x:c r="F17" s="26" t="n">
        <x:v>7810</x:v>
      </x:c>
      <x:c r="G17" s="35" t="n">
        <x:v>0.031603655228927066</x:v>
      </x:c>
      <x:c r="H17" s="35" t="n">
        <x:v>0.015368368713067976</x:v>
      </x:c>
      <x:c r="I17" s="35" t="n">
        <x:v>0.04783894174478616</x:v>
      </x:c>
      <x:c r="J17" s="26" t="n">
        <x:v>0.00006799733155524943</x:v>
      </x:c>
      <x:c r="K17" s="37" t="n">
        <x:v>0.13568961175</x:v>
      </x:c>
      <x:c r="L17" s="37" t="n">
        <x:v>0.05282650789705372</x:v>
      </x:c>
      <x:c r="M17" s="37" t="n">
        <x:v>0.21855271560294626</x:v>
      </x:c>
      <x:c r="N17" s="26" t="n">
        <x:v>0.0006647602635810049</x:v>
      </x:c>
      <x:c r="O17" s="31" t="b">
        <x:v>1</x:v>
      </x:c>
      <x:c r="P17" s="31" t="b">
        <x:v>1</x:v>
      </x:c>
      <x:c r="Q17" s="31" t="b">
        <x:v>1</x:v>
      </x:c>
      <x:c r="R17" s="31" t="b">
        <x:v>1</x:v>
      </x:c>
      <x:c r="S17" s="32" t="b">
        <x:v>1</x:v>
      </x:c>
    </x:row>
    <x:row r="18">
      <x:c r="A18" s="25" t="str">
        <x:v>MEAT-PCKGD</x:v>
      </x:c>
      <x:c r="B18" s="26" t="str">
        <x:v>BACON</x:v>
      </x:c>
      <x:c r="C18" s="26" t="n">
        <x:v>4</x:v>
      </x:c>
      <x:c r="D18" s="26" t="str">
        <x:v>진열+전단 - 전단만</x:v>
      </x:c>
      <x:c r="E18" s="26" t="n">
        <x:v>51</x:v>
      </x:c>
      <x:c r="F18" s="26" t="n">
        <x:v>19044</x:v>
      </x:c>
      <x:c r="G18" s="35" t="n">
        <x:v>0.014445892200100249</x:v>
      </x:c>
      <x:c r="H18" s="35" t="n">
        <x:v>0.003196339328993658</x:v>
      </x:c>
      <x:c r="I18" s="35" t="n">
        <x:v>0.02569544507120684</x:v>
      </x:c>
      <x:c r="J18" s="26" t="n">
        <x:v>0.005919697354028653</x:v>
      </x:c>
      <x:c r="K18" s="37" t="n">
        <x:v>0.08016339463333334</x:v>
      </x:c>
      <x:c r="L18" s="37" t="n">
        <x:v>0.018047089676012713</x:v>
      </x:c>
      <x:c r="M18" s="37" t="n">
        <x:v>0.14227969959065398</x:v>
      </x:c>
      <x:c r="N18" s="26" t="n">
        <x:v>0.005712029028639397</x:v>
      </x:c>
      <x:c r="O18" s="31" t="b">
        <x:v>1</x:v>
      </x:c>
      <x:c r="P18" s="31" t="b">
        <x:v>1</x:v>
      </x:c>
      <x:c r="Q18" s="31" t="b">
        <x:v>1</x:v>
      </x:c>
      <x:c r="R18" s="31" t="b">
        <x:v>1</x:v>
      </x:c>
      <x:c r="S18" s="32" t="b">
        <x:v>1</x:v>
      </x:c>
    </x:row>
    <x:row r="19">
      <x:c r="A19" s="25" t="str">
        <x:v>MEAT-PCKGD</x:v>
      </x:c>
      <x:c r="B19" s="26" t="str">
        <x:v>BACON</x:v>
      </x:c>
      <x:c r="C19" s="26" t="n">
        <x:v>4</x:v>
      </x:c>
      <x:c r="D19" s="26" t="str">
        <x:v>진열+전단 - 진열만</x:v>
      </x:c>
      <x:c r="E19" s="26" t="n">
        <x:v>80</x:v>
      </x:c>
      <x:c r="F19" s="26" t="n">
        <x:v>9156</x:v>
      </x:c>
      <x:c r="G19" s="35" t="n">
        <x:v>0.02903321985237815</x:v>
      </x:c>
      <x:c r="H19" s="35" t="n">
        <x:v>0.011127654564332647</x:v>
      </x:c>
      <x:c r="I19" s="35" t="n">
        <x:v>0.046938785140423656</x:v>
      </x:c>
      <x:c r="J19" s="26" t="n">
        <x:v>0.0007412988949921163</x:v>
      </x:c>
      <x:c r="K19" s="37" t="n">
        <x:v>0.11793703575</x:v>
      </x:c>
      <x:c r="L19" s="37" t="n">
        <x:v>0.03161790773819918</x:v>
      </x:c>
      <x:c r="M19" s="37" t="n">
        <x:v>0.20425616376180084</x:v>
      </x:c>
      <x:c r="N19" s="26" t="n">
        <x:v>0.0037039339376716243</x:v>
      </x:c>
      <x:c r="O19" s="31" t="b">
        <x:v>1</x:v>
      </x:c>
      <x:c r="P19" s="31" t="b">
        <x:v>1</x:v>
      </x:c>
      <x:c r="Q19" s="31" t="b">
        <x:v>1</x:v>
      </x:c>
      <x:c r="R19" s="31" t="b">
        <x:v>1</x:v>
      </x:c>
      <x:c r="S19" s="32" t="b">
        <x:v>1</x:v>
      </x:c>
    </x:row>
    <x:row r="20">
      <x:c r="A20" s="25" t="str">
        <x:v>MEAT-PCKGD</x:v>
      </x:c>
      <x:c r="B20" s="26" t="str">
        <x:v>BREAKFAST SAUSAGE/SANDWICHES</x:v>
      </x:c>
      <x:c r="C20" s="26" t="n">
        <x:v>1</x:v>
      </x:c>
      <x:c r="D20" s="26" t="str">
        <x:v>진열+전단 - 전단만</x:v>
      </x:c>
      <x:c r="E20" s="26" t="n">
        <x:v>68</x:v>
      </x:c>
      <x:c r="F20" s="26" t="n">
        <x:v>5081</x:v>
      </x:c>
      <x:c r="G20" s="35" t="n">
        <x:v>0.01246199367242408</x:v>
      </x:c>
      <x:c r="H20" s="35" t="n">
        <x:v>0.00207027770135851</x:v>
      </x:c>
      <x:c r="I20" s="35" t="n">
        <x:v>0.02285370964348965</x:v>
      </x:c>
      <x:c r="J20" s="26" t="n">
        <x:v>0.009374639024144257</x:v>
      </x:c>
      <x:c r="K20" s="37" t="n">
        <x:v>0.03457677811764707</x:v>
      </x:c>
      <x:c r="L20" s="37" t="n">
        <x:v>-0.00216918217741352</x:v>
      </x:c>
      <x:c r="M20" s="37" t="n">
        <x:v>0.07132273841270766</x:v>
      </x:c>
      <x:c r="N20" s="26" t="n">
        <x:v>0.03256989306019986</x:v>
      </x:c>
      <x:c r="O20" s="31" t="b">
        <x:v>1</x:v>
      </x:c>
      <x:c r="P20" s="31" t="b">
        <x:v>1</x:v>
      </x:c>
      <x:c r="Q20" s="31" t="b">
        <x:v>0</x:v>
      </x:c>
      <x:c r="R20" s="31" t="b">
        <x:v>0</x:v>
      </x:c>
      <x:c r="S20" s="32" t="b">
        <x:v>1</x:v>
      </x:c>
    </x:row>
    <x:row r="21">
      <x:c r="A21" s="25" t="str">
        <x:v>MEAT-PCKGD</x:v>
      </x:c>
      <x:c r="B21" s="26" t="str">
        <x:v>BREAKFAST SAUSAGE/SANDWICHES</x:v>
      </x:c>
      <x:c r="C21" s="26" t="n">
        <x:v>1</x:v>
      </x:c>
      <x:c r="D21" s="26" t="str">
        <x:v>진열+전단 - 진열만</x:v>
      </x:c>
      <x:c r="E21" s="26" t="n">
        <x:v>134</x:v>
      </x:c>
      <x:c r="F21" s="26" t="n">
        <x:v>8842</x:v>
      </x:c>
      <x:c r="G21" s="35" t="n">
        <x:v>0.02508055718013161</x:v>
      </x:c>
      <x:c r="H21" s="35" t="n">
        <x:v>0.012791733185589536</x:v>
      </x:c>
      <x:c r="I21" s="35" t="n">
        <x:v>0.037369381174673685</x:v>
      </x:c>
      <x:c r="J21" s="26" t="n">
        <x:v>0.00003164298126011178</x:v>
      </x:c>
      <x:c r="K21" s="37" t="n">
        <x:v>0.07020434071044776</x:v>
      </x:c>
      <x:c r="L21" s="37" t="n">
        <x:v>0.03584118614555605</x:v>
      </x:c>
      <x:c r="M21" s="37" t="n">
        <x:v>0.10456749527533947</x:v>
      </x:c>
      <x:c r="N21" s="26" t="n">
        <x:v>0.000031100204525573666</x:v>
      </x:c>
      <x:c r="O21" s="31" t="b">
        <x:v>1</x:v>
      </x:c>
      <x:c r="P21" s="31" t="b">
        <x:v>1</x:v>
      </x:c>
      <x:c r="Q21" s="31" t="b">
        <x:v>1</x:v>
      </x:c>
      <x:c r="R21" s="31" t="b">
        <x:v>1</x:v>
      </x:c>
      <x:c r="S21" s="32" t="b">
        <x:v>1</x:v>
      </x:c>
    </x:row>
    <x:row r="22">
      <x:c r="A22" s="25" t="str">
        <x:v>MEAT-PCKGD</x:v>
      </x:c>
      <x:c r="B22" s="26" t="str">
        <x:v>BREAKFAST SAUSAGE/SANDWICHES</x:v>
      </x:c>
      <x:c r="C22" s="26" t="n">
        <x:v>2</x:v>
      </x:c>
      <x:c r="D22" s="26" t="str">
        <x:v>진열+전단 - 전단만</x:v>
      </x:c>
      <x:c r="E22" s="26" t="n">
        <x:v>79</x:v>
      </x:c>
      <x:c r="F22" s="26" t="n">
        <x:v>7018</x:v>
      </x:c>
      <x:c r="G22" s="35" t="n">
        <x:v>0.010801137271896584</x:v>
      </x:c>
      <x:c r="H22" s="35" t="n">
        <x:v>0.0030910677998954262</x:v>
      </x:c>
      <x:c r="I22" s="35" t="n">
        <x:v>0.01851120674389774</x:v>
      </x:c>
      <x:c r="J22" s="26" t="n">
        <x:v>0.0030182725980971827</x:v>
      </x:c>
      <x:c r="K22" s="37" t="n">
        <x:v>0.035427111620253166</x:v>
      </x:c>
      <x:c r="L22" s="37" t="n">
        <x:v>0.005499371774775393</x:v>
      </x:c>
      <x:c r="M22" s="37" t="n">
        <x:v>0.06535485146573095</x:v>
      </x:c>
      <x:c r="N22" s="26" t="n">
        <x:v>0.01016611729072937</x:v>
      </x:c>
      <x:c r="O22" s="31" t="b">
        <x:v>1</x:v>
      </x:c>
      <x:c r="P22" s="31" t="b">
        <x:v>1</x:v>
      </x:c>
      <x:c r="Q22" s="31" t="b">
        <x:v>1</x:v>
      </x:c>
      <x:c r="R22" s="31" t="b">
        <x:v>1</x:v>
      </x:c>
      <x:c r="S22" s="32" t="b">
        <x:v>1</x:v>
      </x:c>
    </x:row>
    <x:row r="23">
      <x:c r="A23" s="25" t="str">
        <x:v>MEAT-PCKGD</x:v>
      </x:c>
      <x:c r="B23" s="26" t="str">
        <x:v>BREAKFAST SAUSAGE/SANDWICHES</x:v>
      </x:c>
      <x:c r="C23" s="26" t="n">
        <x:v>2</x:v>
      </x:c>
      <x:c r="D23" s="26" t="str">
        <x:v>진열+전단 - 진열만</x:v>
      </x:c>
      <x:c r="E23" s="26" t="n">
        <x:v>134</x:v>
      </x:c>
      <x:c r="F23" s="26" t="n">
        <x:v>11113</x:v>
      </x:c>
      <x:c r="G23" s="35" t="n">
        <x:v>0.02498629685204269</x:v>
      </x:c>
      <x:c r="H23" s="35" t="n">
        <x:v>0.012713727791702418</x:v>
      </x:c>
      <x:c r="I23" s="35" t="n">
        <x:v>0.03725886591238296</x:v>
      </x:c>
      <x:c r="J23" s="26" t="n">
        <x:v>0.00003297324820929133</x:v>
      </x:c>
      <x:c r="K23" s="37" t="n">
        <x:v>0.07018474569402985</x:v>
      </x:c>
      <x:c r="L23" s="37" t="n">
        <x:v>0.03769302577252705</x:v>
      </x:c>
      <x:c r="M23" s="37" t="n">
        <x:v>0.10267646561553266</x:v>
      </x:c>
      <x:c r="N23" s="26" t="n">
        <x:v>0.000011490877134942073</x:v>
      </x:c>
      <x:c r="O23" s="31" t="b">
        <x:v>1</x:v>
      </x:c>
      <x:c r="P23" s="31" t="b">
        <x:v>1</x:v>
      </x:c>
      <x:c r="Q23" s="31" t="b">
        <x:v>1</x:v>
      </x:c>
      <x:c r="R23" s="31" t="b">
        <x:v>1</x:v>
      </x:c>
      <x:c r="S23" s="32" t="b">
        <x:v>1</x:v>
      </x:c>
    </x:row>
    <x:row r="24">
      <x:c r="A24" s="25" t="str">
        <x:v>MEAT-PCKGD</x:v>
      </x:c>
      <x:c r="B24" s="26" t="str">
        <x:v>BREAKFAST SAUSAGE/SANDWICHES</x:v>
      </x:c>
      <x:c r="C24" s="26" t="n">
        <x:v>4</x:v>
      </x:c>
      <x:c r="D24" s="26" t="str">
        <x:v>진열+전단 - 전단만</x:v>
      </x:c>
      <x:c r="E24" s="26" t="n">
        <x:v>109</x:v>
      </x:c>
      <x:c r="F24" s="26" t="n">
        <x:v>25292</x:v>
      </x:c>
      <x:c r="G24" s="35" t="n">
        <x:v>0.011680428592724622</x:v>
      </x:c>
      <x:c r="H24" s="35" t="n">
        <x:v>0.003541504068844868</x:v>
      </x:c>
      <x:c r="I24" s="35" t="n">
        <x:v>0.019819353116604377</x:v>
      </x:c>
      <x:c r="J24" s="26" t="n">
        <x:v>0.0024551654830800916</x:v>
      </x:c>
      <x:c r="K24" s="37" t="n">
        <x:v>0.049131036143211</x:v>
      </x:c>
      <x:c r="L24" s="37" t="n">
        <x:v>0.018449064924784056</x:v>
      </x:c>
      <x:c r="M24" s="37" t="n">
        <x:v>0.07981300736163795</x:v>
      </x:c>
      <x:c r="N24" s="26" t="n">
        <x:v>0.0008489364314190459</x:v>
      </x:c>
      <x:c r="O24" s="31" t="b">
        <x:v>1</x:v>
      </x:c>
      <x:c r="P24" s="31" t="b">
        <x:v>1</x:v>
      </x:c>
      <x:c r="Q24" s="31" t="b">
        <x:v>1</x:v>
      </x:c>
      <x:c r="R24" s="31" t="b">
        <x:v>1</x:v>
      </x:c>
      <x:c r="S24" s="32" t="b">
        <x:v>1</x:v>
      </x:c>
    </x:row>
    <x:row r="25">
      <x:c r="A25" s="25" t="str">
        <x:v>MEAT-PCKGD</x:v>
      </x:c>
      <x:c r="B25" s="26" t="str">
        <x:v>BREAKFAST SAUSAGE/SANDWICHES</x:v>
      </x:c>
      <x:c r="C25" s="26" t="n">
        <x:v>4</x:v>
      </x:c>
      <x:c r="D25" s="26" t="str">
        <x:v>진열+전단 - 진열만</x:v>
      </x:c>
      <x:c r="E25" s="26" t="n">
        <x:v>136</x:v>
      </x:c>
      <x:c r="F25" s="26" t="n">
        <x:v>14188</x:v>
      </x:c>
      <x:c r="G25" s="35" t="n">
        <x:v>0.0241121168540368</x:v>
      </x:c>
      <x:c r="H25" s="35" t="n">
        <x:v>0.013858236221207685</x:v>
      </x:c>
      <x:c r="I25" s="35" t="n">
        <x:v>0.03436599748686591</x:v>
      </x:c>
      <x:c r="J25" s="26" t="n">
        <x:v>0.0000020234187075647785</x:v>
      </x:c>
      <x:c r="K25" s="37" t="n">
        <x:v>0.06639239767433823</x:v>
      </x:c>
      <x:c r="L25" s="37" t="n">
        <x:v>0.03610589796771789</x:v>
      </x:c>
      <x:c r="M25" s="37" t="n">
        <x:v>0.09667889738095857</x:v>
      </x:c>
      <x:c r="N25" s="26" t="n">
        <x:v>0.000008671726193972662</x:v>
      </x:c>
      <x:c r="O25" s="31" t="b">
        <x:v>1</x:v>
      </x:c>
      <x:c r="P25" s="31" t="b">
        <x:v>1</x:v>
      </x:c>
      <x:c r="Q25" s="31" t="b">
        <x:v>1</x:v>
      </x:c>
      <x:c r="R25" s="31" t="b">
        <x:v>1</x:v>
      </x:c>
      <x:c r="S25" s="32" t="b">
        <x:v>1</x:v>
      </x:c>
    </x:row>
    <x:row r="26">
      <x:c r="A26" s="25" t="str">
        <x:v>MEAT-PCKGD</x:v>
      </x:c>
      <x:c r="B26" s="26" t="str">
        <x:v>DINNER SAUSAGE</x:v>
      </x:c>
      <x:c r="C26" s="26" t="n">
        <x:v>1</x:v>
      </x:c>
      <x:c r="D26" s="26" t="str">
        <x:v>진열+전단 - 전단만</x:v>
      </x:c>
      <x:c r="E26" s="26" t="n">
        <x:v>104</x:v>
      </x:c>
      <x:c r="F26" s="26" t="n">
        <x:v>6220</x:v>
      </x:c>
      <x:c r="G26" s="35" t="n">
        <x:v>0.008466133520868155</x:v>
      </x:c>
      <x:c r="H26" s="35" t="n">
        <x:v>0.003178275238859477</x:v>
      </x:c>
      <x:c r="I26" s="35" t="n">
        <x:v>0.013753991802876833</x:v>
      </x:c>
      <x:c r="J26" s="26" t="n">
        <x:v>0.0008503474793201443</x:v>
      </x:c>
      <x:c r="K26" s="37" t="n">
        <x:v>0.04747053538942308</x:v>
      </x:c>
      <x:c r="L26" s="37" t="n">
        <x:v>0.021785736313417067</x:v>
      </x:c>
      <x:c r="M26" s="37" t="n">
        <x:v>0.07315533446542909</x:v>
      </x:c>
      <x:c r="N26" s="26" t="n">
        <x:v>0.00014590527487366595</x:v>
      </x:c>
      <x:c r="O26" s="31" t="b">
        <x:v>1</x:v>
      </x:c>
      <x:c r="P26" s="31" t="b">
        <x:v>1</x:v>
      </x:c>
      <x:c r="Q26" s="31" t="b">
        <x:v>1</x:v>
      </x:c>
      <x:c r="R26" s="31" t="b">
        <x:v>1</x:v>
      </x:c>
      <x:c r="S26" s="32" t="b">
        <x:v>1</x:v>
      </x:c>
    </x:row>
    <x:row r="27">
      <x:c r="A27" s="25" t="str">
        <x:v>MEAT-PCKGD</x:v>
      </x:c>
      <x:c r="B27" s="26" t="str">
        <x:v>DINNER SAUSAGE</x:v>
      </x:c>
      <x:c r="C27" s="26" t="n">
        <x:v>1</x:v>
      </x:c>
      <x:c r="D27" s="26" t="str">
        <x:v>진열+전단 - 진열만</x:v>
      </x:c>
      <x:c r="E27" s="26" t="n">
        <x:v>154</x:v>
      </x:c>
      <x:c r="F27" s="26" t="n">
        <x:v>18626</x:v>
      </x:c>
      <x:c r="G27" s="35" t="n">
        <x:v>0.007740277918333732</x:v>
      </x:c>
      <x:c r="H27" s="35" t="n">
        <x:v>0.0029956174981410275</x:v>
      </x:c>
      <x:c r="I27" s="35" t="n">
        <x:v>0.012484938338526437</x:v>
      </x:c>
      <x:c r="J27" s="26" t="n">
        <x:v>0.0006931762421953816</x:v>
      </x:c>
      <x:c r="K27" s="37" t="n">
        <x:v>0.02469927151818182</x:v>
      </x:c>
      <x:c r="L27" s="37" t="n">
        <x:v>0.007897728294561243</x:v>
      </x:c>
      <x:c r="M27" s="37" t="n">
        <x:v>0.041500814741802394</x:v>
      </x:c>
      <x:c r="N27" s="26" t="n">
        <x:v>0.0019800856086810235</x:v>
      </x:c>
      <x:c r="O27" s="31" t="b">
        <x:v>1</x:v>
      </x:c>
      <x:c r="P27" s="31" t="b">
        <x:v>1</x:v>
      </x:c>
      <x:c r="Q27" s="31" t="b">
        <x:v>1</x:v>
      </x:c>
      <x:c r="R27" s="31" t="b">
        <x:v>1</x:v>
      </x:c>
      <x:c r="S27" s="32" t="b">
        <x:v>1</x:v>
      </x:c>
    </x:row>
    <x:row r="28">
      <x:c r="A28" s="25" t="str">
        <x:v>MEAT-PCKGD</x:v>
      </x:c>
      <x:c r="B28" s="26" t="str">
        <x:v>DINNER SAUSAGE</x:v>
      </x:c>
      <x:c r="C28" s="26" t="n">
        <x:v>2</x:v>
      </x:c>
      <x:c r="D28" s="26" t="str">
        <x:v>진열+전단 - 전단만</x:v>
      </x:c>
      <x:c r="E28" s="26" t="n">
        <x:v>125</x:v>
      </x:c>
      <x:c r="F28" s="26" t="n">
        <x:v>13885</x:v>
      </x:c>
      <x:c r="G28" s="35" t="n">
        <x:v>0.00818711581811033</x:v>
      </x:c>
      <x:c r="H28" s="35" t="n">
        <x:v>0.003617650419553379</x:v>
      </x:c>
      <x:c r="I28" s="35" t="n">
        <x:v>0.01275658121666728</x:v>
      </x:c>
      <x:c r="J28" s="26" t="n">
        <x:v>0.0002225966730802159</x:v>
      </x:c>
      <x:c r="K28" s="37" t="n">
        <x:v>0.03603150060799999</x:v>
      </x:c>
      <x:c r="L28" s="37" t="n">
        <x:v>0.017886930716032673</x:v>
      </x:c>
      <x:c r="M28" s="37" t="n">
        <x:v>0.05417607049996731</x:v>
      </x:c>
      <x:c r="N28" s="26" t="n">
        <x:v>0.00004967589958831133</x:v>
      </x:c>
      <x:c r="O28" s="31" t="b">
        <x:v>1</x:v>
      </x:c>
      <x:c r="P28" s="31" t="b">
        <x:v>1</x:v>
      </x:c>
      <x:c r="Q28" s="31" t="b">
        <x:v>1</x:v>
      </x:c>
      <x:c r="R28" s="31" t="b">
        <x:v>1</x:v>
      </x:c>
      <x:c r="S28" s="32" t="b">
        <x:v>1</x:v>
      </x:c>
    </x:row>
    <x:row r="29">
      <x:c r="A29" s="25" t="str">
        <x:v>MEAT-PCKGD</x:v>
      </x:c>
      <x:c r="B29" s="26" t="str">
        <x:v>DINNER SAUSAGE</x:v>
      </x:c>
      <x:c r="C29" s="26" t="n">
        <x:v>2</x:v>
      </x:c>
      <x:c r="D29" s="26" t="str">
        <x:v>진열+전단 - 진열만</x:v>
      </x:c>
      <x:c r="E29" s="26" t="n">
        <x:v>156</x:v>
      </x:c>
      <x:c r="F29" s="26" t="n">
        <x:v>22593</x:v>
      </x:c>
      <x:c r="G29" s="35" t="n">
        <x:v>0.009254901997422502</x:v>
      </x:c>
      <x:c r="H29" s="35" t="n">
        <x:v>0.003244538299711589</x:v>
      </x:c>
      <x:c r="I29" s="35" t="n">
        <x:v>0.015265265695133414</x:v>
      </x:c>
      <x:c r="J29" s="26" t="n">
        <x:v>0.0012720138475934427</x:v>
      </x:c>
      <x:c r="K29" s="37" t="n">
        <x:v>0.027507051142628205</x:v>
      </x:c>
      <x:c r="L29" s="37" t="n">
        <x:v>0.007413872967537278</x:v>
      </x:c>
      <x:c r="M29" s="37" t="n">
        <x:v>0.04760022931771914</x:v>
      </x:c>
      <x:c r="N29" s="26" t="n">
        <x:v>0.0036461743878553</x:v>
      </x:c>
      <x:c r="O29" s="31" t="b">
        <x:v>1</x:v>
      </x:c>
      <x:c r="P29" s="31" t="b">
        <x:v>1</x:v>
      </x:c>
      <x:c r="Q29" s="31" t="b">
        <x:v>1</x:v>
      </x:c>
      <x:c r="R29" s="31" t="b">
        <x:v>1</x:v>
      </x:c>
      <x:c r="S29" s="32" t="b">
        <x:v>1</x:v>
      </x:c>
    </x:row>
    <x:row r="30">
      <x:c r="A30" s="25" t="str">
        <x:v>MEAT-PCKGD</x:v>
      </x:c>
      <x:c r="B30" s="26" t="str">
        <x:v>DINNER SAUSAGE</x:v>
      </x:c>
      <x:c r="C30" s="26" t="n">
        <x:v>4</x:v>
      </x:c>
      <x:c r="D30" s="26" t="str">
        <x:v>진열+전단 - 전단만</x:v>
      </x:c>
      <x:c r="E30" s="26" t="n">
        <x:v>137</x:v>
      </x:c>
      <x:c r="F30" s="26" t="n">
        <x:v>33212</x:v>
      </x:c>
      <x:c r="G30" s="35" t="n">
        <x:v>0.00816916607003509</x:v>
      </x:c>
      <x:c r="H30" s="35" t="n">
        <x:v>0.004780422314448574</x:v>
      </x:c>
      <x:c r="I30" s="35" t="n">
        <x:v>0.011557909825621607</x:v>
      </x:c>
      <x:c r="J30" s="26" t="n">
        <x:v>0.0000011509924606195957</x:v>
      </x:c>
      <x:c r="K30" s="37" t="n">
        <x:v>0.02769123795810219</x:v>
      </x:c>
      <x:c r="L30" s="37" t="n">
        <x:v>0.014662706703336794</x:v>
      </x:c>
      <x:c r="M30" s="37" t="n">
        <x:v>0.04071976921286758</x:v>
      </x:c>
      <x:c r="N30" s="26" t="n">
        <x:v>0.00001551015120728043</x:v>
      </x:c>
      <x:c r="O30" s="31" t="b">
        <x:v>1</x:v>
      </x:c>
      <x:c r="P30" s="31" t="b">
        <x:v>1</x:v>
      </x:c>
      <x:c r="Q30" s="31" t="b">
        <x:v>1</x:v>
      </x:c>
      <x:c r="R30" s="31" t="b">
        <x:v>1</x:v>
      </x:c>
      <x:c r="S30" s="32" t="b">
        <x:v>1</x:v>
      </x:c>
    </x:row>
    <x:row r="31">
      <x:c r="A31" s="25" t="str">
        <x:v>MEAT-PCKGD</x:v>
      </x:c>
      <x:c r="B31" s="26" t="str">
        <x:v>DINNER SAUSAGE</x:v>
      </x:c>
      <x:c r="C31" s="26" t="n">
        <x:v>4</x:v>
      </x:c>
      <x:c r="D31" s="26" t="str">
        <x:v>진열+전단 - 진열만</x:v>
      </x:c>
      <x:c r="E31" s="26" t="n">
        <x:v>156</x:v>
      </x:c>
      <x:c r="F31" s="26" t="n">
        <x:v>26328</x:v>
      </x:c>
      <x:c r="G31" s="35" t="n">
        <x:v>0.009640858097587692</x:v>
      </x:c>
      <x:c r="H31" s="35" t="n">
        <x:v>0.003556840562413223</x:v>
      </x:c>
      <x:c r="I31" s="35" t="n">
        <x:v>0.01572487563276216</x:v>
      </x:c>
      <x:c r="J31" s="26" t="n">
        <x:v>0.0009486456870559789</x:v>
      </x:c>
      <x:c r="K31" s="37" t="n">
        <x:v>0.027375646398076922</x:v>
      </x:c>
      <x:c r="L31" s="37" t="n">
        <x:v>0.007666270378957878</x:v>
      </x:c>
      <x:c r="M31" s="37" t="n">
        <x:v>0.04708502241719596</x:v>
      </x:c>
      <x:c r="N31" s="26" t="n">
        <x:v>0.003240750099808488</x:v>
      </x:c>
      <x:c r="O31" s="31" t="b">
        <x:v>1</x:v>
      </x:c>
      <x:c r="P31" s="31" t="b">
        <x:v>1</x:v>
      </x:c>
      <x:c r="Q31" s="31" t="b">
        <x:v>1</x:v>
      </x:c>
      <x:c r="R31" s="31" t="b">
        <x:v>1</x:v>
      </x:c>
      <x:c r="S31" s="32" t="b">
        <x:v>1</x:v>
      </x:c>
    </x:row>
    <x:row r="32">
      <x:c r="A32" s="25" t="str">
        <x:v>MEAT-PCKGD</x:v>
      </x:c>
      <x:c r="B32" s="26" t="str">
        <x:v>LUNCHMEAT</x:v>
      </x:c>
      <x:c r="C32" s="26" t="n">
        <x:v>1</x:v>
      </x:c>
      <x:c r="D32" s="26" t="str">
        <x:v>진열+전단 - 전단만</x:v>
      </x:c>
      <x:c r="E32" s="26" t="n">
        <x:v>235</x:v>
      </x:c>
      <x:c r="F32" s="26" t="n">
        <x:v>5055</x:v>
      </x:c>
      <x:c r="G32" s="35" t="n">
        <x:v>0.012171534955939242</x:v>
      </x:c>
      <x:c r="H32" s="35" t="n">
        <x:v>0.0064855750975566576</x:v>
      </x:c>
      <x:c r="I32" s="35" t="n">
        <x:v>0.017857494814321827</x:v>
      </x:c>
      <x:c r="J32" s="26" t="n">
        <x:v>0.000013605446393518525</x:v>
      </x:c>
      <x:c r="K32" s="37" t="n">
        <x:v>0.031114048828936175</x:v>
      </x:c>
      <x:c r="L32" s="37" t="n">
        <x:v>0.014121055235038937</x:v>
      </x:c>
      <x:c r="M32" s="37" t="n">
        <x:v>0.04810704242283341</x:v>
      </x:c>
      <x:c r="N32" s="26" t="n">
        <x:v>0.0001661362639333687</x:v>
      </x:c>
      <x:c r="O32" s="31" t="b">
        <x:v>1</x:v>
      </x:c>
      <x:c r="P32" s="31" t="b">
        <x:v>1</x:v>
      </x:c>
      <x:c r="Q32" s="31" t="b">
        <x:v>1</x:v>
      </x:c>
      <x:c r="R32" s="31" t="b">
        <x:v>1</x:v>
      </x:c>
      <x:c r="S32" s="32" t="b">
        <x:v>1</x:v>
      </x:c>
    </x:row>
    <x:row r="33">
      <x:c r="A33" s="25" t="str">
        <x:v>MEAT-PCKGD</x:v>
      </x:c>
      <x:c r="B33" s="26" t="str">
        <x:v>LUNCHMEAT</x:v>
      </x:c>
      <x:c r="C33" s="26" t="n">
        <x:v>1</x:v>
      </x:c>
      <x:c r="D33" s="26" t="str">
        <x:v>진열+전단 - 진열만</x:v>
      </x:c>
      <x:c r="E33" s="26" t="n">
        <x:v>405</x:v>
      </x:c>
      <x:c r="F33" s="26" t="n">
        <x:v>10063</x:v>
      </x:c>
      <x:c r="G33" s="35" t="n">
        <x:v>0.0159013295047354</x:v>
      </x:c>
      <x:c r="H33" s="35" t="n">
        <x:v>0.009976273541368721</x:v>
      </x:c>
      <x:c r="I33" s="35" t="n">
        <x:v>0.02182638546810208</x:v>
      </x:c>
      <x:c r="J33" s="26" t="n">
        <x:v>7.197407345712312e-8</x:v>
      </x:c>
      <x:c r="K33" s="37" t="n">
        <x:v>0.032773972883703706</x:v>
      </x:c>
      <x:c r="L33" s="37" t="n">
        <x:v>0.016690469723415403</x:v>
      </x:c>
      <x:c r="M33" s="37" t="n">
        <x:v>0.04885747604399201</x:v>
      </x:c>
      <x:c r="N33" s="26" t="n">
        <x:v>0.00003248840447891044</x:v>
      </x:c>
      <x:c r="O33" s="31" t="b">
        <x:v>1</x:v>
      </x:c>
      <x:c r="P33" s="31" t="b">
        <x:v>1</x:v>
      </x:c>
      <x:c r="Q33" s="31" t="b">
        <x:v>1</x:v>
      </x:c>
      <x:c r="R33" s="31" t="b">
        <x:v>1</x:v>
      </x:c>
      <x:c r="S33" s="32" t="b">
        <x:v>1</x:v>
      </x:c>
    </x:row>
    <x:row r="34">
      <x:c r="A34" s="25" t="str">
        <x:v>MEAT-PCKGD</x:v>
      </x:c>
      <x:c r="B34" s="26" t="str">
        <x:v>LUNCHMEAT</x:v>
      </x:c>
      <x:c r="C34" s="26" t="n">
        <x:v>2</x:v>
      </x:c>
      <x:c r="D34" s="26" t="str">
        <x:v>진열+전단 - 전단만</x:v>
      </x:c>
      <x:c r="E34" s="26" t="n">
        <x:v>247</x:v>
      </x:c>
      <x:c r="F34" s="26" t="n">
        <x:v>9650</x:v>
      </x:c>
      <x:c r="G34" s="35" t="n">
        <x:v>0.011176844774443102</x:v>
      </x:c>
      <x:c r="H34" s="35" t="n">
        <x:v>0.005548863977966892</x:v>
      </x:c>
      <x:c r="I34" s="35" t="n">
        <x:v>0.01680482557091931</x:v>
      </x:c>
      <x:c r="J34" s="26" t="n">
        <x:v>0.00004961913584376456</x:v>
      </x:c>
      <x:c r="K34" s="37" t="n">
        <x:v>0.028881533920931172</x:v>
      </x:c>
      <x:c r="L34" s="37" t="n">
        <x:v>0.014897248737065369</x:v>
      </x:c>
      <x:c r="M34" s="37" t="n">
        <x:v>0.042865819104796976</x:v>
      </x:c>
      <x:c r="N34" s="26" t="n">
        <x:v>0.000025833148828111827</x:v>
      </x:c>
      <x:c r="O34" s="31" t="b">
        <x:v>1</x:v>
      </x:c>
      <x:c r="P34" s="31" t="b">
        <x:v>1</x:v>
      </x:c>
      <x:c r="Q34" s="31" t="b">
        <x:v>1</x:v>
      </x:c>
      <x:c r="R34" s="31" t="b">
        <x:v>1</x:v>
      </x:c>
      <x:c r="S34" s="32" t="b">
        <x:v>1</x:v>
      </x:c>
    </x:row>
    <x:row r="35">
      <x:c r="A35" s="25" t="str">
        <x:v>MEAT-PCKGD</x:v>
      </x:c>
      <x:c r="B35" s="26" t="str">
        <x:v>LUNCHMEAT</x:v>
      </x:c>
      <x:c r="C35" s="26" t="n">
        <x:v>2</x:v>
      </x:c>
      <x:c r="D35" s="26" t="str">
        <x:v>진열+전단 - 진열만</x:v>
      </x:c>
      <x:c r="E35" s="26" t="n">
        <x:v>409</x:v>
      </x:c>
      <x:c r="F35" s="26" t="n">
        <x:v>12174</x:v>
      </x:c>
      <x:c r="G35" s="35" t="n">
        <x:v>0.014991210350208253</x:v>
      </x:c>
      <x:c r="H35" s="35" t="n">
        <x:v>0.009227822003291752</x:v>
      </x:c>
      <x:c r="I35" s="35" t="n">
        <x:v>0.020754598697124753</x:v>
      </x:c>
      <x:c r="J35" s="26" t="n">
        <x:v>1.7147029751770117e-7</x:v>
      </x:c>
      <x:c r="K35" s="37" t="n">
        <x:v>0.032822970817457206</x:v>
      </x:c>
      <x:c r="L35" s="37" t="n">
        <x:v>0.017425400938967307</x:v>
      </x:c>
      <x:c r="M35" s="37" t="n">
        <x:v>0.048220540695947105</x:v>
      </x:c>
      <x:c r="N35" s="26" t="n">
        <x:v>0.0000146958910990052</x:v>
      </x:c>
      <x:c r="O35" s="31" t="b">
        <x:v>1</x:v>
      </x:c>
      <x:c r="P35" s="31" t="b">
        <x:v>1</x:v>
      </x:c>
      <x:c r="Q35" s="31" t="b">
        <x:v>1</x:v>
      </x:c>
      <x:c r="R35" s="31" t="b">
        <x:v>1</x:v>
      </x:c>
      <x:c r="S35" s="32" t="b">
        <x:v>1</x:v>
      </x:c>
    </x:row>
    <x:row r="36">
      <x:c r="A36" s="25" t="str">
        <x:v>MEAT-PCKGD</x:v>
      </x:c>
      <x:c r="B36" s="26" t="str">
        <x:v>LUNCHMEAT</x:v>
      </x:c>
      <x:c r="C36" s="26" t="n">
        <x:v>4</x:v>
      </x:c>
      <x:c r="D36" s="26" t="str">
        <x:v>진열+전단 - 전단만</x:v>
      </x:c>
      <x:c r="E36" s="26" t="n">
        <x:v>316</x:v>
      </x:c>
      <x:c r="F36" s="26" t="n">
        <x:v>21240</x:v>
      </x:c>
      <x:c r="G36" s="35" t="n">
        <x:v>0.013677765653935407</x:v>
      </x:c>
      <x:c r="H36" s="35" t="n">
        <x:v>0.00893779653741017</x:v>
      </x:c>
      <x:c r="I36" s="35" t="n">
        <x:v>0.018417734770460645</x:v>
      </x:c>
      <x:c r="J36" s="26" t="n">
        <x:v>7.755116221877226e-9</x:v>
      </x:c>
      <x:c r="K36" s="37" t="n">
        <x:v>0.027972826250316454</x:v>
      </x:c>
      <x:c r="L36" s="37" t="n">
        <x:v>0.01645955270371178</x:v>
      </x:c>
      <x:c r="M36" s="37" t="n">
        <x:v>0.03948609979692113</x:v>
      </x:c>
      <x:c r="N36" s="26" t="n">
        <x:v>9.581994145443713e-7</x:v>
      </x:c>
      <x:c r="O36" s="31" t="b">
        <x:v>1</x:v>
      </x:c>
      <x:c r="P36" s="31" t="b">
        <x:v>1</x:v>
      </x:c>
      <x:c r="Q36" s="31" t="b">
        <x:v>1</x:v>
      </x:c>
      <x:c r="R36" s="31" t="b">
        <x:v>1</x:v>
      </x:c>
      <x:c r="S36" s="32" t="b">
        <x:v>1</x:v>
      </x:c>
    </x:row>
    <x:row r="37">
      <x:c r="A37" s="25" t="str">
        <x:v>MEAT-PCKGD</x:v>
      </x:c>
      <x:c r="B37" s="26" t="str">
        <x:v>LUNCHMEAT</x:v>
      </x:c>
      <x:c r="C37" s="26" t="n">
        <x:v>4</x:v>
      </x:c>
      <x:c r="D37" s="26" t="str">
        <x:v>진열+전단 - 진열만</x:v>
      </x:c>
      <x:c r="E37" s="26" t="n">
        <x:v>415</x:v>
      </x:c>
      <x:c r="F37" s="26" t="n">
        <x:v>14241</x:v>
      </x:c>
      <x:c r="G37" s="35" t="n">
        <x:v>0.015261830581689562</x:v>
      </x:c>
      <x:c r="H37" s="35" t="n">
        <x:v>0.009720894450248806</x:v>
      </x:c>
      <x:c r="I37" s="35" t="n">
        <x:v>0.02080276671313032</x:v>
      </x:c>
      <x:c r="J37" s="26" t="n">
        <x:v>3.3585175152265805e-8</x:v>
      </x:c>
      <x:c r="K37" s="37" t="n">
        <x:v>0.032389660509397594</x:v>
      </x:c>
      <x:c r="L37" s="37" t="n">
        <x:v>0.01794636431745302</x:v>
      </x:c>
      <x:c r="M37" s="37" t="n">
        <x:v>0.04683295670134217</x:v>
      </x:c>
      <x:c r="N37" s="26" t="n">
        <x:v>0.000005529028510112765</x:v>
      </x:c>
      <x:c r="O37" s="31" t="b">
        <x:v>1</x:v>
      </x:c>
      <x:c r="P37" s="31" t="b">
        <x:v>1</x:v>
      </x:c>
      <x:c r="Q37" s="31" t="b">
        <x:v>1</x:v>
      </x:c>
      <x:c r="R37" s="31" t="b">
        <x:v>1</x:v>
      </x:c>
      <x:c r="S37" s="32" t="b">
        <x:v>1</x:v>
      </x:c>
    </x:row>
    <x:row r="38">
      <x:c r="A38" s="25" t="str">
        <x:v>PASTRY</x:v>
      </x:c>
      <x:c r="B38" s="26" t="str">
        <x:v>PIES</x:v>
      </x:c>
      <x:c r="C38" s="26" t="n">
        <x:v>1</x:v>
      </x:c>
      <x:c r="D38" s="26" t="str">
        <x:v>진열+전단 - 전단만</x:v>
      </x:c>
      <x:c r="E38" s="26" t="n">
        <x:v>33</x:v>
      </x:c>
      <x:c r="F38" s="26" t="n">
        <x:v>1403</x:v>
      </x:c>
      <x:c r="G38" s="35" t="n">
        <x:v>0.006604278224195479</x:v>
      </x:c>
      <x:c r="H38" s="35" t="n">
        <x:v>-0.001802037632330976</x:v>
      </x:c>
      <x:c r="I38" s="35" t="n">
        <x:v>0.015010594080721935</x:v>
      </x:c>
      <x:c r="J38" s="26" t="n">
        <x:v>0.061799622804695586</x:v>
      </x:c>
      <x:c r="K38" s="37" t="n">
        <x:v>0.046082094909090904</x:v>
      </x:c>
      <x:c r="L38" s="37" t="n">
        <x:v>-0.026774821105934155</x:v>
      </x:c>
      <x:c r="M38" s="37" t="n">
        <x:v>0.11893901092411596</x:v>
      </x:c>
      <x:c r="N38" s="26" t="n">
        <x:v>0.10754271312482455</x:v>
      </x:c>
      <x:c r="O38" s="31" t="b">
        <x:v>1</x:v>
      </x:c>
      <x:c r="P38" s="31" t="b">
        <x:v>0</x:v>
      </x:c>
      <x:c r="Q38" s="31" t="b">
        <x:v>0</x:v>
      </x:c>
      <x:c r="R38" s="31" t="b">
        <x:v>0</x:v>
      </x:c>
      <x:c r="S38" s="32" t="b">
        <x:v>1</x:v>
      </x:c>
    </x:row>
    <x:row r="39">
      <x:c r="A39" s="25" t="str">
        <x:v>PASTRY</x:v>
      </x:c>
      <x:c r="B39" s="26" t="str">
        <x:v>PIES</x:v>
      </x:c>
      <x:c r="C39" s="26" t="n">
        <x:v>1</x:v>
      </x:c>
      <x:c r="D39" s="26" t="str">
        <x:v>진열+전단 - 진열만</x:v>
      </x:c>
      <x:c r="E39" s="26" t="n">
        <x:v>37</x:v>
      </x:c>
      <x:c r="F39" s="26" t="n">
        <x:v>744</x:v>
      </x:c>
      <x:c r="G39" s="35" t="n">
        <x:v>0.031810867864631304</x:v>
      </x:c>
      <x:c r="H39" s="35" t="n">
        <x:v>-0.0024394267418694562</x:v>
      </x:c>
      <x:c r="I39" s="35" t="n">
        <x:v>0.06606116247113206</x:v>
      </x:c>
      <x:c r="J39" s="26" t="n">
        <x:v>0.034348912459743655</x:v>
      </x:c>
      <x:c r="K39" s="37" t="n">
        <x:v>0.17646612756756755</x:v>
      </x:c>
      <x:c r="L39" s="37" t="n">
        <x:v>0.006317344517013823</x:v>
      </x:c>
      <x:c r="M39" s="37" t="n">
        <x:v>0.3466149106181213</x:v>
      </x:c>
      <x:c r="N39" s="26" t="n">
        <x:v>0.021037802994847244</x:v>
      </x:c>
      <x:c r="O39" s="31" t="b">
        <x:v>1</x:v>
      </x:c>
      <x:c r="P39" s="31" t="b">
        <x:v>0</x:v>
      </x:c>
      <x:c r="Q39" s="31" t="b">
        <x:v>1</x:v>
      </x:c>
      <x:c r="R39" s="31" t="b">
        <x:v>0</x:v>
      </x:c>
      <x:c r="S39" s="32" t="b">
        <x:v>1</x:v>
      </x:c>
    </x:row>
    <x:row r="40">
      <x:c r="A40" s="25" t="str">
        <x:v>PASTRY</x:v>
      </x:c>
      <x:c r="B40" s="26" t="str">
        <x:v>PIES</x:v>
      </x:c>
      <x:c r="C40" s="26" t="n">
        <x:v>2</x:v>
      </x:c>
      <x:c r="D40" s="26" t="str">
        <x:v>진열+전단 - 전단만</x:v>
      </x:c>
      <x:c r="E40" s="26" t="n">
        <x:v>33</x:v>
      </x:c>
      <x:c r="F40" s="26" t="n">
        <x:v>1931</x:v>
      </x:c>
      <x:c r="G40" s="35" t="n">
        <x:v>0.003633003898548769</x:v>
      </x:c>
      <x:c r="H40" s="35" t="n">
        <x:v>-0.003929864346575381</x:v>
      </x:c>
      <x:c r="I40" s="35" t="n">
        <x:v>0.011195872143672918</x:v>
      </x:c>
      <x:c r="J40" s="26" t="n">
        <x:v>0.17321597395207855</x:v>
      </x:c>
      <x:c r="K40" s="37" t="n">
        <x:v>0.0370799191060606</x:v>
      </x:c>
      <x:c r="L40" s="37" t="n">
        <x:v>-0.021217692029122416</x:v>
      </x:c>
      <x:c r="M40" s="37" t="n">
        <x:v>0.09537753024124362</x:v>
      </x:c>
      <x:c r="N40" s="26" t="n">
        <x:v>0.10626316731102925</x:v>
      </x:c>
      <x:c r="O40" s="31" t="b">
        <x:v>1</x:v>
      </x:c>
      <x:c r="P40" s="31" t="b">
        <x:v>0</x:v>
      </x:c>
      <x:c r="Q40" s="31" t="b">
        <x:v>0</x:v>
      </x:c>
      <x:c r="R40" s="31" t="b">
        <x:v>0</x:v>
      </x:c>
      <x:c r="S40" s="32" t="b">
        <x:v>1</x:v>
      </x:c>
    </x:row>
    <x:row r="41">
      <x:c r="A41" s="25" t="str">
        <x:v>PASTRY</x:v>
      </x:c>
      <x:c r="B41" s="26" t="str">
        <x:v>PIES</x:v>
      </x:c>
      <x:c r="C41" s="26" t="n">
        <x:v>2</x:v>
      </x:c>
      <x:c r="D41" s="26" t="str">
        <x:v>진열+전단 - 진열만</x:v>
      </x:c>
      <x:c r="E41" s="26" t="n">
        <x:v>41</x:v>
      </x:c>
      <x:c r="F41" s="26" t="n">
        <x:v>1172</x:v>
      </x:c>
      <x:c r="G41" s="35" t="n">
        <x:v>0.02116906461681482</x:v>
      </x:c>
      <x:c r="H41" s="35" t="n">
        <x:v>0.0016417170406526523</x:v>
      </x:c>
      <x:c r="I41" s="35" t="n">
        <x:v>0.04069641219297698</x:v>
      </x:c>
      <x:c r="J41" s="26" t="n">
        <x:v>0.016802382330523082</x:v>
      </x:c>
      <x:c r="K41" s="37" t="n">
        <x:v>0.12147553536585366</x:v>
      </x:c>
      <x:c r="L41" s="37" t="n">
        <x:v>0.016307053741985794</x:v>
      </x:c>
      <x:c r="M41" s="37" t="n">
        <x:v>0.22664401698972153</x:v>
      </x:c>
      <x:c r="N41" s="26" t="n">
        <x:v>0.011789804306468168</x:v>
      </x:c>
      <x:c r="O41" s="31" t="b">
        <x:v>1</x:v>
      </x:c>
      <x:c r="P41" s="31" t="b">
        <x:v>1</x:v>
      </x:c>
      <x:c r="Q41" s="31" t="b">
        <x:v>1</x:v>
      </x:c>
      <x:c r="R41" s="31" t="b">
        <x:v>1</x:v>
      </x:c>
      <x:c r="S41" s="32" t="b">
        <x:v>1</x:v>
      </x:c>
    </x:row>
    <x:row r="42">
      <x:c r="A42" s="25" t="str">
        <x:v>PASTRY</x:v>
      </x:c>
      <x:c r="B42" s="26" t="str">
        <x:v>PIES</x:v>
      </x:c>
      <x:c r="C42" s="26" t="n">
        <x:v>4</x:v>
      </x:c>
      <x:c r="D42" s="26" t="str">
        <x:v>진열+전단 - 전단만</x:v>
      </x:c>
      <x:c r="E42" s="26" t="n">
        <x:v>34</x:v>
      </x:c>
      <x:c r="F42" s="26" t="n">
        <x:v>2476</x:v>
      </x:c>
      <x:c r="G42" s="35" t="n">
        <x:v>0.013999716134127956</x:v>
      </x:c>
      <x:c r="H42" s="35" t="n">
        <x:v>0.0012290679780733605</x:v>
      </x:c>
      <x:c r="I42" s="35" t="n">
        <x:v>0.02677036429018255</x:v>
      </x:c>
      <x:c r="J42" s="26" t="n">
        <x:v>0.015831728316315612</x:v>
      </x:c>
      <x:c r="K42" s="37" t="n">
        <x:v>0.0866563359117647</x:v>
      </x:c>
      <x:c r="L42" s="37" t="n">
        <x:v>0.011221491023574823</x:v>
      </x:c>
      <x:c r="M42" s="37" t="n">
        <x:v>0.1620911807999546</x:v>
      </x:c>
      <x:c r="N42" s="26" t="n">
        <x:v>0.012174903465053807</x:v>
      </x:c>
      <x:c r="O42" s="31" t="b">
        <x:v>1</x:v>
      </x:c>
      <x:c r="P42" s="31" t="b">
        <x:v>1</x:v>
      </x:c>
      <x:c r="Q42" s="31" t="b">
        <x:v>1</x:v>
      </x:c>
      <x:c r="R42" s="31" t="b">
        <x:v>1</x:v>
      </x:c>
      <x:c r="S42" s="32" t="b">
        <x:v>1</x:v>
      </x:c>
    </x:row>
    <x:row r="43">
      <x:c r="A43" s="28" t="str">
        <x:v>PASTRY</x:v>
      </x:c>
      <x:c r="B43" s="29" t="str">
        <x:v>PIES</x:v>
      </x:c>
      <x:c r="C43" s="29" t="n">
        <x:v>4</x:v>
      </x:c>
      <x:c r="D43" s="29" t="str">
        <x:v>진열+전단 - 진열만</x:v>
      </x:c>
      <x:c r="E43" s="29" t="n">
        <x:v>41</x:v>
      </x:c>
      <x:c r="F43" s="29" t="n">
        <x:v>1611</x:v>
      </x:c>
      <x:c r="G43" s="36" t="n">
        <x:v>0.020766309206598933</x:v>
      </x:c>
      <x:c r="H43" s="36" t="n">
        <x:v>0.0036304663221506765</x:v>
      </x:c>
      <x:c r="I43" s="36" t="n">
        <x:v>0.03790215209104719</x:v>
      </x:c>
      <x:c r="J43" s="29" t="n">
        <x:v>0.008768457306809552</x:v>
      </x:c>
      <x:c r="K43" s="38" t="n">
        <x:v>0.11996802131707317</x:v>
      </x:c>
      <x:c r="L43" s="38" t="n">
        <x:v>0.02684767887239997</x:v>
      </x:c>
      <x:c r="M43" s="38" t="n">
        <x:v>0.21308836376174636</x:v>
      </x:c>
      <x:c r="N43" s="29" t="n">
        <x:v>0.005783419647100428</x:v>
      </x:c>
      <x:c r="O43" s="33" t="b">
        <x:v>1</x:v>
      </x:c>
      <x:c r="P43" s="33" t="b">
        <x:v>1</x:v>
      </x:c>
      <x:c r="Q43" s="33" t="b">
        <x:v>1</x:v>
      </x:c>
      <x:c r="R43" s="33" t="b">
        <x:v>1</x:v>
      </x:c>
      <x:c r="S43" s="34" t="b">
        <x:v>1</x:v>
      </x:c>
    </x:row>
  </x:sheetData>
  <x:pageMargins left="0.7" right="0.7" top="0.75" bottom="0.75" header="0.3" footer="0.3"/>
</x:worksheet>
</file>