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ea16cdfc5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결론" sheetId="1" r:id="Rbb0b1f9fbe4a44b3"/>
    <x:sheet xmlns:r="http://schemas.openxmlformats.org/officeDocument/2006/relationships" name="강건성 검정" sheetId="2" r:id="R884e82d2704344a4"/>
    <x:sheet xmlns:r="http://schemas.openxmlformats.org/officeDocument/2006/relationships" name="부문 제외 검정" sheetId="3" r:id="Re072aa1b0139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%"/>
    <x:numFmt numFmtId="201" formatCode="0.0000"/>
    <x:numFmt numFmtId="202" formatCode="0.00E+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274E13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5"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2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2" fillId="3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4" xfId="0" applyNumberFormat="1" applyFont="1" applyFill="1" applyBorder="1"/>
    <x:xf numFmtId="202" fontId="0" fillId="0" borderId="14" xfId="0" applyNumberFormat="1" applyFont="1" applyFill="1" applyBorder="1"/>
    <x:xf numFmtId="202" fontId="0" fillId="0" borderId="15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202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2" fontId="0" fillId="0" borderId="14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0" fontId="4" fillId="2" borderId="16" xfId="0" applyNumberFormat="1" applyFont="1" applyFill="1" applyBorder="1" applyAlignment="1">
      <x:alignment wrapText="1"/>
    </x:xf>
    <x:xf numFmtId="0" fontId="4" fillId="2" borderId="17" xfId="0" applyNumberFormat="1" applyFont="1" applyFill="1" applyBorder="1" applyAlignment="1">
      <x:alignment wrapText="1"/>
    </x:xf>
    <x:xf numFmtId="0" fontId="4" fillId="2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728949fe44032" /><Relationship Type="http://schemas.openxmlformats.org/officeDocument/2006/relationships/theme" Target="/xl/theme/theme1.xml" Id="Rd562696dc41846bc" /><Relationship Type="http://schemas.openxmlformats.org/officeDocument/2006/relationships/sharedStrings" Target="/xl/sharedStrings.xml" Id="Reb1139b8e19341ce" /><Relationship Type="http://schemas.openxmlformats.org/officeDocument/2006/relationships/worksheet" Target="/xl/worksheets/sheet1.xml" Id="Rbb0b1f9fbe4a44b3" /><Relationship Type="http://schemas.openxmlformats.org/officeDocument/2006/relationships/worksheet" Target="/xl/worksheets/sheet2.xml" Id="R884e82d2704344a4" /><Relationship Type="http://schemas.openxmlformats.org/officeDocument/2006/relationships/worksheet" Target="/xl/worksheets/sheet3.xml" Id="Re072aa1b01394c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" hidden="0" customWidth="1"/>
    <x:col min="8" max="8" width="4" hidden="0" customWidth="1"/>
  </x:cols>
  <x:sheetData>
    <x:row r="1" ht="32" customHeight="1">
      <x:c r="A1" s="39" t="str">
        <x:v>진열+전단 결합 프로모션 강건성 검증</x:v>
      </x:c>
      <x:c r="B1" s="39"/>
      <x:c r="C1" s="39"/>
      <x:c r="D1" s="39"/>
      <x:c r="E1" s="39"/>
      <x:c r="F1" s="39"/>
      <x:c r="G1" s="39"/>
      <x:c r="H1" s="39"/>
    </x:row>
    <x:row r="2">
      <x:c r="A2" s="40"/>
      <x:c r="B2" s="40"/>
      <x:c r="C2" s="40"/>
      <x:c r="D2" s="40"/>
      <x:c r="E2" s="40"/>
      <x:c r="F2" s="40"/>
      <x:c r="G2" s="40"/>
      <x:c r="H2" s="40"/>
    </x:row>
    <x:row r="3">
      <x:c r="A3" s="41" t="str">
        <x:v>검증 가설</x:v>
      </x:c>
      <x:c r="B3" s="42" t="str">
        <x:v>같은 상품·매장에서 진열과 전단을 함께 적용한 주차는 단독 적용 주차보다 판매발생률과 매출이 높다.</x:v>
      </x:c>
      <x:c r="C3" s="40"/>
      <x:c r="D3" s="40"/>
      <x:c r="E3" s="40"/>
      <x:c r="F3" s="40"/>
      <x:c r="G3" s="40"/>
      <x:c r="H3" s="40"/>
    </x:row>
    <x:row r="4">
      <x:c r="A4" s="43" t="str">
        <x:v>매칭 범위</x:v>
      </x:c>
      <x:c r="B4" s="44" t="str">
        <x:v>가장 가까운 단독 프로모션 주차 ±1주, ±2주, ±4주</x:v>
      </x:c>
      <x:c r="C4" s="40"/>
      <x:c r="D4" s="40"/>
      <x:c r="E4" s="40"/>
      <x:c r="F4" s="40"/>
      <x:c r="G4" s="40"/>
      <x:c r="H4" s="40"/>
    </x:row>
    <x:row r="5">
      <x:c r="A5" s="43" t="str">
        <x:v>핵심 비교</x:v>
      </x:c>
      <x:c r="B5" s="44" t="str">
        <x:v>진열+전단 - 진열만 / 진열+전단 - 전단만</x:v>
      </x:c>
      <x:c r="C5" s="40"/>
      <x:c r="D5" s="40"/>
      <x:c r="E5" s="40"/>
      <x:c r="F5" s="40"/>
      <x:c r="G5" s="40"/>
      <x:c r="H5" s="40"/>
    </x:row>
    <x:row r="6">
      <x:c r="A6" s="43" t="str">
        <x:v>강건성 검정 수</x:v>
      </x:c>
      <x:c r="B6" s="44" t="n">
        <x:f>COUNTIFS('강건성 검정'!$C$2:$C$25,"판매발생률")+COUNTIFS('강건성 검정'!$C$2:$C$25,"매출")</x:f>
        <x:v>12</x:v>
      </x:c>
      <x:c r="C6" s="40"/>
      <x:c r="D6" s="40"/>
      <x:c r="E6" s="40"/>
      <x:c r="F6" s="40"/>
      <x:c r="G6" s="40"/>
      <x:c r="H6" s="40"/>
    </x:row>
    <x:row r="7">
      <x:c r="A7" s="43" t="str">
        <x:v>핵심 검정 통과 수</x:v>
      </x:c>
      <x:c r="B7" s="44" t="n">
        <x:f>COUNTIFS('강건성 검정'!$C$2:$C$25,"판매발생률",'강건성 검정'!$I$2:$I$25,TRUE)+COUNTIFS('강건성 검정'!$C$2:$C$25,"매출",'강건성 검정'!$I$2:$I$25,TRUE)</x:f>
        <x:v>12</x:v>
      </x:c>
      <x:c r="C7" s="40"/>
      <x:c r="D7" s="40"/>
      <x:c r="E7" s="40"/>
      <x:c r="F7" s="40"/>
      <x:c r="G7" s="40"/>
      <x:c r="H7" s="40"/>
    </x:row>
    <x:row r="8">
      <x:c r="A8" s="45" t="str">
        <x:v>최종 판정</x:v>
      </x:c>
      <x:c r="B8" s="23" t="str">
        <x:f>IF(AND(B6=B7,COUNTIF('부문 제외 검정'!$J$2:$J$73,FALSE)=0),"가설 지지: 매칭 범위와 대형 부문 제외에도 결론 유지","일부 조건에서 결론 변화: 적용 범위 제한 필요")</x:f>
        <x:v>가설 지지: 매칭 범위와 대형 부문 제외에도 결론 유지</x:v>
      </x:c>
      <x:c r="C8" s="40"/>
      <x:c r="D8" s="40"/>
      <x:c r="E8" s="40"/>
      <x:c r="F8" s="40"/>
      <x:c r="G8" s="40"/>
      <x:c r="H8" s="40"/>
    </x:row>
    <x:row r="9">
      <x:c r="A9" s="40"/>
      <x:c r="B9" s="40"/>
      <x:c r="C9" s="40"/>
      <x:c r="D9" s="40"/>
      <x:c r="E9" s="40"/>
      <x:c r="F9" s="40"/>
      <x:c r="G9" s="40"/>
      <x:c r="H9" s="40"/>
    </x:row>
    <x:row r="10">
      <x:c r="A10" s="46" t="str">
        <x:v>핵심 수치 (상품 단위 평균 효과)</x:v>
      </x:c>
      <x:c r="B10" s="46"/>
      <x:c r="C10" s="46"/>
      <x:c r="D10" s="46"/>
      <x:c r="E10" s="46"/>
      <x:c r="F10" s="46"/>
      <x:c r="G10" s="46"/>
      <x:c r="H10" s="46"/>
    </x:row>
    <x:row r="11">
      <x:c r="A11" s="47" t="str">
        <x:v>허용 범위</x:v>
      </x:c>
      <x:c r="B11" s="48" t="str">
        <x:v>비교</x:v>
      </x:c>
      <x:c r="C11" s="48" t="str">
        <x:v>판매발생률 차이</x:v>
      </x:c>
      <x:c r="D11" s="48" t="str">
        <x:v>매출 차이</x:v>
      </x:c>
      <x:c r="E11" s="48" t="str">
        <x:v>판매발생률 p값</x:v>
      </x:c>
      <x:c r="F11" s="49" t="str">
        <x:v>매출 p값</x:v>
      </x:c>
      <x:c r="G11" s="40"/>
      <x:c r="H11" s="40"/>
    </x:row>
    <x:row r="12">
      <x:c r="A12" s="50" t="n">
        <x:v>1</x:v>
      </x:c>
      <x:c r="B12" s="51" t="str">
        <x:v>진열+전단 - 진열만</x:v>
      </x:c>
      <x:c r="C12" s="52" t="n">
        <x:v>0.005515</x:v>
      </x:c>
      <x:c r="D12" s="53" t="n">
        <x:v>0.015494</x:v>
      </x:c>
      <x:c r="E12" s="54" t="n">
        <x:v>5.070369e-44</x:v>
      </x:c>
      <x:c r="F12" s="55" t="n">
        <x:v>6.402641e-19</x:v>
      </x:c>
      <x:c r="G12" s="40"/>
      <x:c r="H12" s="40"/>
    </x:row>
    <x:row r="13">
      <x:c r="A13" s="50" t="n">
        <x:v>1</x:v>
      </x:c>
      <x:c r="B13" s="51" t="str">
        <x:v>진열+전단 - 전단만</x:v>
      </x:c>
      <x:c r="C13" s="52" t="n">
        <x:v>0.003123</x:v>
      </x:c>
      <x:c r="D13" s="53" t="n">
        <x:v>0.008212</x:v>
      </x:c>
      <x:c r="E13" s="54" t="n">
        <x:v>1.32387e-10</x:v>
      </x:c>
      <x:c r="F13" s="55" t="n">
        <x:v>0.00008545201</x:v>
      </x:c>
      <x:c r="G13" s="40"/>
      <x:c r="H13" s="40"/>
    </x:row>
    <x:row r="14">
      <x:c r="A14" s="50" t="n">
        <x:v>2</x:v>
      </x:c>
      <x:c r="B14" s="51" t="str">
        <x:v>진열+전단 - 진열만</x:v>
      </x:c>
      <x:c r="C14" s="52" t="n">
        <x:v>0.005609</x:v>
      </x:c>
      <x:c r="D14" s="53" t="n">
        <x:v>0.015809</x:v>
      </x:c>
      <x:c r="E14" s="54" t="n">
        <x:v>8.322707e-47</x:v>
      </x:c>
      <x:c r="F14" s="55" t="n">
        <x:v>6.217019e-21</x:v>
      </x:c>
      <x:c r="G14" s="40"/>
      <x:c r="H14" s="40"/>
    </x:row>
    <x:row r="15">
      <x:c r="A15" s="50" t="n">
        <x:v>2</x:v>
      </x:c>
      <x:c r="B15" s="51" t="str">
        <x:v>진열+전단 - 전단만</x:v>
      </x:c>
      <x:c r="C15" s="52" t="n">
        <x:v>0.003136</x:v>
      </x:c>
      <x:c r="D15" s="53" t="n">
        <x:v>0.007824</x:v>
      </x:c>
      <x:c r="E15" s="54" t="n">
        <x:v>4.020032e-12</x:v>
      </x:c>
      <x:c r="F15" s="55" t="n">
        <x:v>0.00004635104</x:v>
      </x:c>
      <x:c r="G15" s="40"/>
      <x:c r="H15" s="40"/>
    </x:row>
    <x:row r="16">
      <x:c r="A16" s="50" t="n">
        <x:v>4</x:v>
      </x:c>
      <x:c r="B16" s="51" t="str">
        <x:v>진열+전단 - 진열만</x:v>
      </x:c>
      <x:c r="C16" s="52" t="n">
        <x:v>0.005657</x:v>
      </x:c>
      <x:c r="D16" s="53" t="n">
        <x:v>0.015507</x:v>
      </x:c>
      <x:c r="E16" s="54" t="n">
        <x:v>3.512803e-51</x:v>
      </x:c>
      <x:c r="F16" s="55" t="n">
        <x:v>1.335506e-21</x:v>
      </x:c>
      <x:c r="G16" s="40"/>
      <x:c r="H16" s="40"/>
    </x:row>
    <x:row r="17">
      <x:c r="A17" s="56" t="n">
        <x:v>4</x:v>
      </x:c>
      <x:c r="B17" s="57" t="str">
        <x:v>진열+전단 - 전단만</x:v>
      </x:c>
      <x:c r="C17" s="58" t="n">
        <x:v>0.004223</x:v>
      </x:c>
      <x:c r="D17" s="59" t="n">
        <x:v>0.011851</x:v>
      </x:c>
      <x:c r="E17" s="60" t="n">
        <x:v>3.444417e-23</x:v>
      </x:c>
      <x:c r="F17" s="61" t="n">
        <x:v>7.024962e-9</x:v>
      </x:c>
      <x:c r="G17" s="40"/>
      <x:c r="H17" s="40"/>
    </x:row>
    <x:row r="18">
      <x:c r="A18" s="40"/>
      <x:c r="B18" s="40"/>
      <x:c r="C18" s="40"/>
      <x:c r="D18" s="40"/>
      <x:c r="E18" s="40"/>
      <x:c r="F18" s="40"/>
      <x:c r="G18" s="40"/>
      <x:c r="H18" s="40"/>
    </x:row>
    <x:row r="19">
      <x:c r="A19" s="17" t="str">
        <x:v>해석 주의: 이 결과는 동일 상품·매장의 가까운 주차를 비교한 관찰자료 분석이다. 결합 프로모션의 효과가 여러 조건에서 반복되지만, 무작위 배정이 아니므로 순수 인과효과나 비용 대비 수익성을 확정하지는 않는다.</x:v>
      </x:c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</x:sheetData>
  <x:mergeCells>
    <x:mergeCell ref="A1:H1"/>
    <x:mergeCell ref="A10:H10"/>
    <x:mergeCell ref="A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15" hidden="0" customHeight="1">
      <x:c r="A1" s="62" t="str">
        <x:v>﻿tolerance_weeks</x:v>
      </x:c>
      <x:c r="B1" s="63" t="str">
        <x:v>comparison</x:v>
      </x:c>
      <x:c r="C1" s="63" t="str">
        <x:v>outcome</x:v>
      </x:c>
      <x:c r="D1" s="63" t="str">
        <x:v>products</x:v>
      </x:c>
      <x:c r="E1" s="63" t="str">
        <x:v>mean_effect</x:v>
      </x:c>
      <x:c r="F1" s="63" t="str">
        <x:v>ci_low</x:v>
      </x:c>
      <x:c r="G1" s="63" t="str">
        <x:v>ci_high</x:v>
      </x:c>
      <x:c r="H1" s="63" t="str">
        <x:v>p_value_one_sided</x:v>
      </x:c>
      <x:c r="I1" s="64" t="str">
        <x:v>significant_positive</x:v>
      </x:c>
    </x:row>
    <x:row r="2" ht="15" hidden="0" customHeight="1">
      <x:c r="A2" s="65" t="str">
        <x:v>1</x:v>
      </x:c>
      <x:c r="B2" s="66" t="str">
        <x:v>진열+전단 - 전단만</x:v>
      </x:c>
      <x:c r="C2" s="66" t="str">
        <x:v>판매발생률</x:v>
      </x:c>
      <x:c r="D2" s="66" t="str">
        <x:v>14106</x:v>
      </x:c>
      <x:c r="E2" s="66" t="str">
        <x:v>0.003122525891314865</x:v>
      </x:c>
      <x:c r="F2" s="66" t="str">
        <x:v>0.0021538585954272815</x:v>
      </x:c>
      <x:c r="G2" s="66" t="str">
        <x:v>0.004091193187202449</x:v>
      </x:c>
      <x:c r="H2" s="66" t="str">
        <x:v>1.3238703281661277e-10</x:v>
      </x:c>
      <x:c r="I2" s="67" t="str">
        <x:v>True</x:v>
      </x:c>
    </x:row>
    <x:row r="3" ht="15" hidden="0" customHeight="1">
      <x:c r="A3" s="65" t="str">
        <x:v>1</x:v>
      </x:c>
      <x:c r="B3" s="66" t="str">
        <x:v>진열+전단 - 전단만</x:v>
      </x:c>
      <x:c r="C3" s="66" t="str">
        <x:v>매출</x:v>
      </x:c>
      <x:c r="D3" s="66" t="str">
        <x:v>14106</x:v>
      </x:c>
      <x:c r="E3" s="66" t="str">
        <x:v>0.008211673765750405</x:v>
      </x:c>
      <x:c r="F3" s="66" t="str">
        <x:v>0.003929463826740796</x:v>
      </x:c>
      <x:c r="G3" s="66" t="str">
        <x:v>0.012493883704760015</x:v>
      </x:c>
      <x:c r="H3" s="66" t="str">
        <x:v>8.545200659262175e-05</x:v>
      </x:c>
      <x:c r="I3" s="67" t="str">
        <x:v>True</x:v>
      </x:c>
    </x:row>
    <x:row r="4" ht="15" hidden="0" customHeight="1">
      <x:c r="A4" s="65" t="str">
        <x:v>1</x:v>
      </x:c>
      <x:c r="B4" s="66" t="str">
        <x:v>진열+전단 - 전단만</x:v>
      </x:c>
      <x:c r="C4" s="66" t="str">
        <x:v>수량</x:v>
      </x:c>
      <x:c r="D4" s="66" t="str">
        <x:v>14106</x:v>
      </x:c>
      <x:c r="E4" s="66" t="str">
        <x:v>0.005593573470105741</x:v>
      </x:c>
      <x:c r="F4" s="66" t="str">
        <x:v>0.0038976096531649664</x:v>
      </x:c>
      <x:c r="G4" s="66" t="str">
        <x:v>0.0072895372870465155</x:v>
      </x:c>
      <x:c r="H4" s="66" t="str">
        <x:v>5.084768901167599e-11</x:v>
      </x:c>
      <x:c r="I4" s="67" t="str">
        <x:v>True</x:v>
      </x:c>
    </x:row>
    <x:row r="5" ht="15" hidden="0" customHeight="1">
      <x:c r="A5" s="65" t="str">
        <x:v>1</x:v>
      </x:c>
      <x:c r="B5" s="66" t="str">
        <x:v>진열+전단 - 전단만</x:v>
      </x:c>
      <x:c r="C5" s="66" t="str">
        <x:v>장바구니 수</x:v>
      </x:c>
      <x:c r="D5" s="66" t="str">
        <x:v>14106</x:v>
      </x:c>
      <x:c r="E5" s="66" t="str">
        <x:v>0.0037274923788221635</x:v>
      </x:c>
      <x:c r="F5" s="66" t="str">
        <x:v>0.0026732785457690414</x:v>
      </x:c>
      <x:c r="G5" s="66" t="str">
        <x:v>0.004781706211875286</x:v>
      </x:c>
      <x:c r="H5" s="66" t="str">
        <x:v>2.101619833838482e-12</x:v>
      </x:c>
      <x:c r="I5" s="67" t="str">
        <x:v>True</x:v>
      </x:c>
    </x:row>
    <x:row r="6" ht="15" hidden="0" customHeight="1">
      <x:c r="A6" s="65" t="str">
        <x:v>1</x:v>
      </x:c>
      <x:c r="B6" s="66" t="str">
        <x:v>진열+전단 - 진열만</x:v>
      </x:c>
      <x:c r="C6" s="66" t="str">
        <x:v>판매발생률</x:v>
      </x:c>
      <x:c r="D6" s="66" t="str">
        <x:v>24977</x:v>
      </x:c>
      <x:c r="E6" s="66" t="str">
        <x:v>0.005515179030763906</x:v>
      </x:c>
      <x:c r="F6" s="66" t="str">
        <x:v>0.004735607692368926</x:v>
      </x:c>
      <x:c r="G6" s="66" t="str">
        <x:v>0.006294750369158885</x:v>
      </x:c>
      <x:c r="H6" s="66" t="str">
        <x:v>5.070369461907487e-44</x:v>
      </x:c>
      <x:c r="I6" s="67" t="str">
        <x:v>True</x:v>
      </x:c>
    </x:row>
    <x:row r="7" ht="15" hidden="0" customHeight="1">
      <x:c r="A7" s="65" t="str">
        <x:v>1</x:v>
      </x:c>
      <x:c r="B7" s="66" t="str">
        <x:v>진열+전단 - 진열만</x:v>
      </x:c>
      <x:c r="C7" s="66" t="str">
        <x:v>매출</x:v>
      </x:c>
      <x:c r="D7" s="66" t="str">
        <x:v>24977</x:v>
      </x:c>
      <x:c r="E7" s="66" t="str">
        <x:v>0.015494004474412987</x:v>
      </x:c>
      <x:c r="F7" s="66" t="str">
        <x:v>0.012045976599925057</x:v>
      </x:c>
      <x:c r="G7" s="66" t="str">
        <x:v>0.018942032348900916</x:v>
      </x:c>
      <x:c r="H7" s="66" t="str">
        <x:v>6.402640587536259e-19</x:v>
      </x:c>
      <x:c r="I7" s="67" t="str">
        <x:v>True</x:v>
      </x:c>
    </x:row>
    <x:row r="8" ht="15" hidden="0" customHeight="1">
      <x:c r="A8" s="65" t="str">
        <x:v>1</x:v>
      </x:c>
      <x:c r="B8" s="66" t="str">
        <x:v>진열+전단 - 진열만</x:v>
      </x:c>
      <x:c r="C8" s="66" t="str">
        <x:v>수량</x:v>
      </x:c>
      <x:c r="D8" s="66" t="str">
        <x:v>24977</x:v>
      </x:c>
      <x:c r="E8" s="66" t="str">
        <x:v>0.010551493411199023</x:v>
      </x:c>
      <x:c r="F8" s="66" t="str">
        <x:v>0.008832942215759327</x:v>
      </x:c>
      <x:c r="G8" s="66" t="str">
        <x:v>0.01227004460663872</x:v>
      </x:c>
      <x:c r="H8" s="66" t="str">
        <x:v>1.1783292499661664e-33</x:v>
      </x:c>
      <x:c r="I8" s="67" t="str">
        <x:v>True</x:v>
      </x:c>
    </x:row>
    <x:row r="9" ht="15" hidden="0" customHeight="1">
      <x:c r="A9" s="65" t="str">
        <x:v>1</x:v>
      </x:c>
      <x:c r="B9" s="66" t="str">
        <x:v>진열+전단 - 진열만</x:v>
      </x:c>
      <x:c r="C9" s="66" t="str">
        <x:v>장바구니 수</x:v>
      </x:c>
      <x:c r="D9" s="66" t="str">
        <x:v>24977</x:v>
      </x:c>
      <x:c r="E9" s="66" t="str">
        <x:v>0.006667880626076831</x:v>
      </x:c>
      <x:c r="F9" s="66" t="str">
        <x:v>0.00576510976225935</x:v>
      </x:c>
      <x:c r="G9" s="66" t="str">
        <x:v>0.007570651489894312</x:v>
      </x:c>
      <x:c r="H9" s="66" t="str">
        <x:v>8.516708118890856e-48</x:v>
      </x:c>
      <x:c r="I9" s="67" t="str">
        <x:v>True</x:v>
      </x:c>
    </x:row>
    <x:row r="10" ht="15" hidden="0" customHeight="1">
      <x:c r="A10" s="65" t="str">
        <x:v>2</x:v>
      </x:c>
      <x:c r="B10" s="66" t="str">
        <x:v>진열+전단 - 전단만</x:v>
      </x:c>
      <x:c r="C10" s="66" t="str">
        <x:v>판매발생률</x:v>
      </x:c>
      <x:c r="D10" s="66" t="str">
        <x:v>15205</x:v>
      </x:c>
      <x:c r="E10" s="66" t="str">
        <x:v>0.0031363108719553038</x:v>
      </x:c>
      <x:c r="F10" s="66" t="str">
        <x:v>0.0022373169550258384</x:v>
      </x:c>
      <x:c r="G10" s="66" t="str">
        <x:v>0.004035304788884769</x:v>
      </x:c>
      <x:c r="H10" s="66" t="str">
        <x:v>4.020032126491108e-12</x:v>
      </x:c>
      <x:c r="I10" s="67" t="str">
        <x:v>True</x:v>
      </x:c>
    </x:row>
    <x:row r="11" ht="15" hidden="0" customHeight="1">
      <x:c r="A11" s="65" t="str">
        <x:v>2</x:v>
      </x:c>
      <x:c r="B11" s="66" t="str">
        <x:v>진열+전단 - 전단만</x:v>
      </x:c>
      <x:c r="C11" s="66" t="str">
        <x:v>매출</x:v>
      </x:c>
      <x:c r="D11" s="66" t="str">
        <x:v>15205</x:v>
      </x:c>
      <x:c r="E11" s="66" t="str">
        <x:v>0.007824494262215142</x:v>
      </x:c>
      <x:c r="F11" s="66" t="str">
        <x:v>0.003901177512277175</x:v>
      </x:c>
      <x:c r="G11" s="66" t="str">
        <x:v>0.011747811012153109</x:v>
      </x:c>
      <x:c r="H11" s="66" t="str">
        <x:v>4.635104109867792e-05</x:v>
      </x:c>
      <x:c r="I11" s="67" t="str">
        <x:v>True</x:v>
      </x:c>
    </x:row>
    <x:row r="12" ht="15" hidden="0" customHeight="1">
      <x:c r="A12" s="65" t="str">
        <x:v>2</x:v>
      </x:c>
      <x:c r="B12" s="66" t="str">
        <x:v>진열+전단 - 전단만</x:v>
      </x:c>
      <x:c r="C12" s="66" t="str">
        <x:v>수량</x:v>
      </x:c>
      <x:c r="D12" s="66" t="str">
        <x:v>15205</x:v>
      </x:c>
      <x:c r="E12" s="66" t="str">
        <x:v>0.0054259598912822764</x:v>
      </x:c>
      <x:c r="F12" s="66" t="str">
        <x:v>0.0038427893180469864</x:v>
      </x:c>
      <x:c r="G12" s="66" t="str">
        <x:v>0.0070091304645175665</x:v>
      </x:c>
      <x:c r="H12" s="66" t="str">
        <x:v>9.246119926878161e-12</x:v>
      </x:c>
      <x:c r="I12" s="67" t="str">
        <x:v>True</x:v>
      </x:c>
    </x:row>
    <x:row r="13" ht="15" hidden="0" customHeight="1">
      <x:c r="A13" s="65" t="str">
        <x:v>2</x:v>
      </x:c>
      <x:c r="B13" s="66" t="str">
        <x:v>진열+전단 - 전단만</x:v>
      </x:c>
      <x:c r="C13" s="66" t="str">
        <x:v>장바구니 수</x:v>
      </x:c>
      <x:c r="D13" s="66" t="str">
        <x:v>15205</x:v>
      </x:c>
      <x:c r="E13" s="66" t="str">
        <x:v>0.0037340228221394594</x:v>
      </x:c>
      <x:c r="F13" s="66" t="str">
        <x:v>0.0027534819173396703</x:v>
      </x:c>
      <x:c r="G13" s="66" t="str">
        <x:v>0.004714563726939248</x:v>
      </x:c>
      <x:c r="H13" s="66" t="str">
        <x:v>4.199089665828192e-14</x:v>
      </x:c>
      <x:c r="I13" s="67" t="str">
        <x:v>True</x:v>
      </x:c>
    </x:row>
    <x:row r="14" ht="15" hidden="0" customHeight="1">
      <x:c r="A14" s="65" t="str">
        <x:v>2</x:v>
      </x:c>
      <x:c r="B14" s="66" t="str">
        <x:v>진열+전단 - 진열만</x:v>
      </x:c>
      <x:c r="C14" s="66" t="str">
        <x:v>판매발생률</x:v>
      </x:c>
      <x:c r="D14" s="66" t="str">
        <x:v>25435</x:v>
      </x:c>
      <x:c r="E14" s="66" t="str">
        <x:v>0.005609093715993355</x:v>
      </x:c>
      <x:c r="F14" s="66" t="str">
        <x:v>0.004841316049563013</x:v>
      </x:c>
      <x:c r="G14" s="66" t="str">
        <x:v>0.006376871382423697</x:v>
      </x:c>
      <x:c r="H14" s="66" t="str">
        <x:v>8.322706860645463e-47</x:v>
      </x:c>
      <x:c r="I14" s="67" t="str">
        <x:v>True</x:v>
      </x:c>
    </x:row>
    <x:row r="15" ht="15" hidden="0" customHeight="1">
      <x:c r="A15" s="65" t="str">
        <x:v>2</x:v>
      </x:c>
      <x:c r="B15" s="66" t="str">
        <x:v>진열+전단 - 진열만</x:v>
      </x:c>
      <x:c r="C15" s="66" t="str">
        <x:v>매출</x:v>
      </x:c>
      <x:c r="D15" s="66" t="str">
        <x:v>25435</x:v>
      </x:c>
      <x:c r="E15" s="66" t="str">
        <x:v>0.015808545471897684</x:v>
      </x:c>
      <x:c r="F15" s="66" t="str">
        <x:v>0.01248148175594403</x:v>
      </x:c>
      <x:c r="G15" s="66" t="str">
        <x:v>0.019135609187851337</x:v>
      </x:c>
      <x:c r="H15" s="66" t="str">
        <x:v>6.217018507932174e-21</x:v>
      </x:c>
      <x:c r="I15" s="67" t="str">
        <x:v>True</x:v>
      </x:c>
    </x:row>
    <x:row r="16" ht="15" hidden="0" customHeight="1">
      <x:c r="A16" s="65" t="str">
        <x:v>2</x:v>
      </x:c>
      <x:c r="B16" s="66" t="str">
        <x:v>진열+전단 - 진열만</x:v>
      </x:c>
      <x:c r="C16" s="66" t="str">
        <x:v>수량</x:v>
      </x:c>
      <x:c r="D16" s="66" t="str">
        <x:v>25435</x:v>
      </x:c>
      <x:c r="E16" s="66" t="str">
        <x:v>0.01047891056766773</x:v>
      </x:c>
      <x:c r="F16" s="66" t="str">
        <x:v>0.008919159065616937</x:v>
      </x:c>
      <x:c r="G16" s="66" t="str">
        <x:v>0.012038662069718523</x:v>
      </x:c>
      <x:c r="H16" s="66" t="str">
        <x:v>6.713309065757551e-40</x:v>
      </x:c>
      <x:c r="I16" s="67" t="str">
        <x:v>True</x:v>
      </x:c>
    </x:row>
    <x:row r="17" ht="15" hidden="0" customHeight="1">
      <x:c r="A17" s="65" t="str">
        <x:v>2</x:v>
      </x:c>
      <x:c r="B17" s="66" t="str">
        <x:v>진열+전단 - 진열만</x:v>
      </x:c>
      <x:c r="C17" s="66" t="str">
        <x:v>장바구니 수</x:v>
      </x:c>
      <x:c r="D17" s="66" t="str">
        <x:v>25435</x:v>
      </x:c>
      <x:c r="E17" s="66" t="str">
        <x:v>0.006751366691247541</x:v>
      </x:c>
      <x:c r="F17" s="66" t="str">
        <x:v>0.005886735780177609</x:v>
      </x:c>
      <x:c r="G17" s="66" t="str">
        <x:v>0.007615997602317473</x:v>
      </x:c>
      <x:c r="H17" s="66" t="str">
        <x:v>3.571537567248462e-53</x:v>
      </x:c>
      <x:c r="I17" s="67" t="str">
        <x:v>True</x:v>
      </x:c>
    </x:row>
    <x:row r="18" ht="15" hidden="0" customHeight="1">
      <x:c r="A18" s="65" t="str">
        <x:v>4</x:v>
      </x:c>
      <x:c r="B18" s="66" t="str">
        <x:v>진열+전단 - 전단만</x:v>
      </x:c>
      <x:c r="C18" s="66" t="str">
        <x:v>판매발생률</x:v>
      </x:c>
      <x:c r="D18" s="66" t="str">
        <x:v>17029</x:v>
      </x:c>
      <x:c r="E18" s="66" t="str">
        <x:v>0.004223051362411094</x:v>
      </x:c>
      <x:c r="F18" s="66" t="str">
        <x:v>0.003382685477412511</x:v>
      </x:c>
      <x:c r="G18" s="66" t="str">
        <x:v>0.005063417247409678</x:v>
      </x:c>
      <x:c r="H18" s="66" t="str">
        <x:v>3.444417335875599e-23</x:v>
      </x:c>
      <x:c r="I18" s="67" t="str">
        <x:v>True</x:v>
      </x:c>
    </x:row>
    <x:row r="19" ht="15" hidden="0" customHeight="1">
      <x:c r="A19" s="65" t="str">
        <x:v>4</x:v>
      </x:c>
      <x:c r="B19" s="66" t="str">
        <x:v>진열+전단 - 전단만</x:v>
      </x:c>
      <x:c r="C19" s="66" t="str">
        <x:v>매출</x:v>
      </x:c>
      <x:c r="D19" s="66" t="str">
        <x:v>17029</x:v>
      </x:c>
      <x:c r="E19" s="66" t="str">
        <x:v>0.011851080940043049</x:v>
      </x:c>
      <x:c r="F19" s="66" t="str">
        <x:v>0.007756418051330732</x:v>
      </x:c>
      <x:c r="G19" s="66" t="str">
        <x:v>0.015945743828755365</x:v>
      </x:c>
      <x:c r="H19" s="66" t="str">
        <x:v>7.024961771482324e-09</x:v>
      </x:c>
      <x:c r="I19" s="67" t="str">
        <x:v>True</x:v>
      </x:c>
    </x:row>
    <x:row r="20" ht="15" hidden="0" customHeight="1">
      <x:c r="A20" s="65" t="str">
        <x:v>4</x:v>
      </x:c>
      <x:c r="B20" s="66" t="str">
        <x:v>진열+전단 - 전단만</x:v>
      </x:c>
      <x:c r="C20" s="66" t="str">
        <x:v>수량</x:v>
      </x:c>
      <x:c r="D20" s="66" t="str">
        <x:v>17029</x:v>
      </x:c>
      <x:c r="E20" s="66" t="str">
        <x:v>0.007099186304798121</x:v>
      </x:c>
      <x:c r="F20" s="66" t="str">
        <x:v>0.005681143775368874</x:v>
      </x:c>
      <x:c r="G20" s="66" t="str">
        <x:v>0.008517228834227368</x:v>
      </x:c>
      <x:c r="H20" s="66" t="str">
        <x:v>4.978422901351141e-23</x:v>
      </x:c>
      <x:c r="I20" s="67" t="str">
        <x:v>True</x:v>
      </x:c>
    </x:row>
    <x:row r="21" ht="15" hidden="0" customHeight="1">
      <x:c r="A21" s="65" t="str">
        <x:v>4</x:v>
      </x:c>
      <x:c r="B21" s="66" t="str">
        <x:v>진열+전단 - 전단만</x:v>
      </x:c>
      <x:c r="C21" s="66" t="str">
        <x:v>장바구니 수</x:v>
      </x:c>
      <x:c r="D21" s="66" t="str">
        <x:v>17029</x:v>
      </x:c>
      <x:c r="E21" s="66" t="str">
        <x:v>0.004953875257179715</x:v>
      </x:c>
      <x:c r="F21" s="66" t="str">
        <x:v>0.004032066386915056</x:v>
      </x:c>
      <x:c r="G21" s="66" t="str">
        <x:v>0.005875684127444374</x:v>
      </x:c>
      <x:c r="H21" s="66" t="str">
        <x:v>3.036760881581642e-26</x:v>
      </x:c>
      <x:c r="I21" s="67" t="str">
        <x:v>True</x:v>
      </x:c>
    </x:row>
    <x:row r="22" ht="15" hidden="0" customHeight="1">
      <x:c r="A22" s="65" t="str">
        <x:v>4</x:v>
      </x:c>
      <x:c r="B22" s="66" t="str">
        <x:v>진열+전단 - 진열만</x:v>
      </x:c>
      <x:c r="C22" s="66" t="str">
        <x:v>판매발생률</x:v>
      </x:c>
      <x:c r="D22" s="66" t="str">
        <x:v>25721</x:v>
      </x:c>
      <x:c r="E22" s="66" t="str">
        <x:v>0.00565659495049278</x:v>
      </x:c>
      <x:c r="F22" s="66" t="str">
        <x:v>0.0049176105411793515</x:v>
      </x:c>
      <x:c r="G22" s="66" t="str">
        <x:v>0.0063955793598062085</x:v>
      </x:c>
      <x:c r="H22" s="66" t="str">
        <x:v>3.5128029129923157e-51</x:v>
      </x:c>
      <x:c r="I22" s="67" t="str">
        <x:v>True</x:v>
      </x:c>
    </x:row>
    <x:row r="23" ht="15" hidden="0" customHeight="1">
      <x:c r="A23" s="65" t="str">
        <x:v>4</x:v>
      </x:c>
      <x:c r="B23" s="66" t="str">
        <x:v>진열+전단 - 진열만</x:v>
      </x:c>
      <x:c r="C23" s="66" t="str">
        <x:v>매출</x:v>
      </x:c>
      <x:c r="D23" s="66" t="str">
        <x:v>25721</x:v>
      </x:c>
      <x:c r="E23" s="66" t="str">
        <x:v>0.015507385828205895</x:v>
      </x:c>
      <x:c r="F23" s="66" t="str">
        <x:v>0.0122994804535464</x:v>
      </x:c>
      <x:c r="G23" s="66" t="str">
        <x:v>0.01871529120286539</x:v>
      </x:c>
      <x:c r="H23" s="66" t="str">
        <x:v>1.3355059548267001e-21</x:v>
      </x:c>
      <x:c r="I23" s="67" t="str">
        <x:v>True</x:v>
      </x:c>
    </x:row>
    <x:row r="24" ht="15" hidden="0" customHeight="1">
      <x:c r="A24" s="65" t="str">
        <x:v>4</x:v>
      </x:c>
      <x:c r="B24" s="66" t="str">
        <x:v>진열+전단 - 진열만</x:v>
      </x:c>
      <x:c r="C24" s="66" t="str">
        <x:v>수량</x:v>
      </x:c>
      <x:c r="D24" s="66" t="str">
        <x:v>25721</x:v>
      </x:c>
      <x:c r="E24" s="66" t="str">
        <x:v>0.01037614449805445</x:v>
      </x:c>
      <x:c r="F24" s="66" t="str">
        <x:v>0.008947219301885833</x:v>
      </x:c>
      <x:c r="G24" s="66" t="str">
        <x:v>0.011805069694223068</x:v>
      </x:c>
      <x:c r="H24" s="66" t="str">
        <x:v>2.8774029001992057e-46</x:v>
      </x:c>
      <x:c r="I24" s="67" t="str">
        <x:v>True</x:v>
      </x:c>
    </x:row>
    <x:row r="25" ht="15" hidden="0" customHeight="1">
      <x:c r="A25" s="68" t="str">
        <x:v>4</x:v>
      </x:c>
      <x:c r="B25" s="69" t="str">
        <x:v>진열+전단 - 진열만</x:v>
      </x:c>
      <x:c r="C25" s="69" t="str">
        <x:v>장바구니 수</x:v>
      </x:c>
      <x:c r="D25" s="69" t="str">
        <x:v>25721</x:v>
      </x:c>
      <x:c r="E25" s="69" t="str">
        <x:v>0.006784625947570514</x:v>
      </x:c>
      <x:c r="F25" s="69" t="str">
        <x:v>0.005963191045899359</x:v>
      </x:c>
      <x:c r="G25" s="69" t="str">
        <x:v>0.00760606084924167</x:v>
      </x:c>
      <x:c r="H25" s="69" t="str">
        <x:v>3.0355432465980145e-59</x:v>
      </x:c>
      <x:c r="I25" s="70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5" hidden="0" customHeight="1">
      <x:c r="A1" s="62" t="str">
        <x:v>﻿tolerance_weeks</x:v>
      </x:c>
      <x:c r="B1" s="63" t="str">
        <x:v>comparison</x:v>
      </x:c>
      <x:c r="C1" s="63" t="str">
        <x:v>scenario</x:v>
      </x:c>
      <x:c r="D1" s="63" t="str">
        <x:v>outcome</x:v>
      </x:c>
      <x:c r="E1" s="63" t="str">
        <x:v>products</x:v>
      </x:c>
      <x:c r="F1" s="63" t="str">
        <x:v>mean_effect</x:v>
      </x:c>
      <x:c r="G1" s="63" t="str">
        <x:v>ci_low</x:v>
      </x:c>
      <x:c r="H1" s="63" t="str">
        <x:v>ci_high</x:v>
      </x:c>
      <x:c r="I1" s="63" t="str">
        <x:v>p_value_one_sided</x:v>
      </x:c>
      <x:c r="J1" s="64" t="str">
        <x:v>significant_positive</x:v>
      </x:c>
    </x:row>
    <x:row r="2" ht="15" hidden="0" customHeight="1">
      <x:c r="A2" s="65" t="str">
        <x:v>1</x:v>
      </x:c>
      <x:c r="B2" s="66" t="str">
        <x:v>진열+전단 - 전단만</x:v>
      </x:c>
      <x:c r="C2" s="66" t="str">
        <x:v>전체</x:v>
      </x:c>
      <x:c r="D2" s="66" t="str">
        <x:v>판매발생률</x:v>
      </x:c>
      <x:c r="E2" s="66" t="str">
        <x:v>14106</x:v>
      </x:c>
      <x:c r="F2" s="66" t="str">
        <x:v>0.003122525891314865</x:v>
      </x:c>
      <x:c r="G2" s="66" t="str">
        <x:v>0.0021538585954272815</x:v>
      </x:c>
      <x:c r="H2" s="66" t="str">
        <x:v>0.004091193187202449</x:v>
      </x:c>
      <x:c r="I2" s="66" t="str">
        <x:v>1.3238703281661277e-10</x:v>
      </x:c>
      <x:c r="J2" s="67" t="str">
        <x:v>True</x:v>
      </x:c>
    </x:row>
    <x:row r="3" ht="15" hidden="0" customHeight="1">
      <x:c r="A3" s="65" t="str">
        <x:v>1</x:v>
      </x:c>
      <x:c r="B3" s="66" t="str">
        <x:v>진열+전단 - 전단만</x:v>
      </x:c>
      <x:c r="C3" s="66" t="str">
        <x:v>전체</x:v>
      </x:c>
      <x:c r="D3" s="66" t="str">
        <x:v>매출</x:v>
      </x:c>
      <x:c r="E3" s="66" t="str">
        <x:v>14106</x:v>
      </x:c>
      <x:c r="F3" s="66" t="str">
        <x:v>0.008211673765750405</x:v>
      </x:c>
      <x:c r="G3" s="66" t="str">
        <x:v>0.003929463826740796</x:v>
      </x:c>
      <x:c r="H3" s="66" t="str">
        <x:v>0.012493883704760015</x:v>
      </x:c>
      <x:c r="I3" s="66" t="str">
        <x:v>8.545200659262175e-05</x:v>
      </x:c>
      <x:c r="J3" s="67" t="str">
        <x:v>True</x:v>
      </x:c>
    </x:row>
    <x:row r="4" ht="15" hidden="0" customHeight="1">
      <x:c r="A4" s="65" t="str">
        <x:v>1</x:v>
      </x:c>
      <x:c r="B4" s="66" t="str">
        <x:v>진열+전단 - 전단만</x:v>
      </x:c>
      <x:c r="C4" s="66" t="str">
        <x:v>GROCERY 제외</x:v>
      </x:c>
      <x:c r="D4" s="66" t="str">
        <x:v>판매발생률</x:v>
      </x:c>
      <x:c r="E4" s="66" t="str">
        <x:v>4240</x:v>
      </x:c>
      <x:c r="F4" s="66" t="str">
        <x:v>0.0037579577777068574</x:v>
      </x:c>
      <x:c r="G4" s="66" t="str">
        <x:v>0.0021451228628973874</x:v>
      </x:c>
      <x:c r="H4" s="66" t="str">
        <x:v>0.005370792692516327</x:v>
      </x:c>
      <x:c r="I4" s="66" t="str">
        <x:v>2.475378328284148e-06</x:v>
      </x:c>
      <x:c r="J4" s="67" t="str">
        <x:v>True</x:v>
      </x:c>
    </x:row>
    <x:row r="5" ht="15" hidden="0" customHeight="1">
      <x:c r="A5" s="65" t="str">
        <x:v>1</x:v>
      </x:c>
      <x:c r="B5" s="66" t="str">
        <x:v>진열+전단 - 전단만</x:v>
      </x:c>
      <x:c r="C5" s="66" t="str">
        <x:v>GROCERY 제외</x:v>
      </x:c>
      <x:c r="D5" s="66" t="str">
        <x:v>매출</x:v>
      </x:c>
      <x:c r="E5" s="66" t="str">
        <x:v>4240</x:v>
      </x:c>
      <x:c r="F5" s="66" t="str">
        <x:v>0.011507328089742098</x:v>
      </x:c>
      <x:c r="G5" s="66" t="str">
        <x:v>0.0007404912094704577</x:v>
      </x:c>
      <x:c r="H5" s="66" t="str">
        <x:v>0.02227416497001374</x:v>
      </x:c>
      <x:c r="I5" s="66" t="str">
        <x:v>0.01809441581518568</x:v>
      </x:c>
      <x:c r="J5" s="67" t="str">
        <x:v>True</x:v>
      </x:c>
    </x:row>
    <x:row r="6" ht="15" hidden="0" customHeight="1">
      <x:c r="A6" s="65" t="str">
        <x:v>1</x:v>
      </x:c>
      <x:c r="B6" s="66" t="str">
        <x:v>진열+전단 - 전단만</x:v>
      </x:c>
      <x:c r="C6" s="66" t="str">
        <x:v>DRUG GM 제외</x:v>
      </x:c>
      <x:c r="D6" s="66" t="str">
        <x:v>판매발생률</x:v>
      </x:c>
      <x:c r="E6" s="66" t="str">
        <x:v>11398</x:v>
      </x:c>
      <x:c r="F6" s="66" t="str">
        <x:v>0.003540898788158213</x:v>
      </x:c>
      <x:c r="G6" s="66" t="str">
        <x:v>0.002413977178229398</x:v>
      </x:c>
      <x:c r="H6" s="66" t="str">
        <x:v>0.004667820398087028</x:v>
      </x:c>
      <x:c r="I6" s="66" t="str">
        <x:v>3.6715529389972864e-10</x:v>
      </x:c>
      <x:c r="J6" s="67" t="str">
        <x:v>True</x:v>
      </x:c>
    </x:row>
    <x:row r="7" ht="15" hidden="0" customHeight="1">
      <x:c r="A7" s="65" t="str">
        <x:v>1</x:v>
      </x:c>
      <x:c r="B7" s="66" t="str">
        <x:v>진열+전단 - 전단만</x:v>
      </x:c>
      <x:c r="C7" s="66" t="str">
        <x:v>DRUG GM 제외</x:v>
      </x:c>
      <x:c r="D7" s="66" t="str">
        <x:v>매출</x:v>
      </x:c>
      <x:c r="E7" s="66" t="str">
        <x:v>11398</x:v>
      </x:c>
      <x:c r="F7" s="66" t="str">
        <x:v>0.010724645393334448</x:v>
      </x:c>
      <x:c r="G7" s="66" t="str">
        <x:v>0.006620920152541206</x:v>
      </x:c>
      <x:c r="H7" s="66" t="str">
        <x:v>0.01482837063412769</x:v>
      </x:c>
      <x:c r="I7" s="66" t="str">
        <x:v>1.5095593934778867e-07</x:v>
      </x:c>
      <x:c r="J7" s="67" t="str">
        <x:v>True</x:v>
      </x:c>
    </x:row>
    <x:row r="8" ht="15" hidden="0" customHeight="1">
      <x:c r="A8" s="65" t="str">
        <x:v>1</x:v>
      </x:c>
      <x:c r="B8" s="66" t="str">
        <x:v>진열+전단 - 전단만</x:v>
      </x:c>
      <x:c r="C8" s="66" t="str">
        <x:v>PRODUCE 제외</x:v>
      </x:c>
      <x:c r="D8" s="66" t="str">
        <x:v>판매발생률</x:v>
      </x:c>
      <x:c r="E8" s="66" t="str">
        <x:v>13925</x:v>
      </x:c>
      <x:c r="F8" s="66" t="str">
        <x:v>0.0030084590951942668</x:v>
      </x:c>
      <x:c r="G8" s="66" t="str">
        <x:v>0.002053785638655178</x:v>
      </x:c>
      <x:c r="H8" s="66" t="str">
        <x:v>0.0039631325517333555</x:v>
      </x:c>
      <x:c r="I8" s="66" t="str">
        <x:v>3.2760582669923457e-10</x:v>
      </x:c>
      <x:c r="J8" s="67" t="str">
        <x:v>True</x:v>
      </x:c>
    </x:row>
    <x:row r="9" ht="15" hidden="0" customHeight="1">
      <x:c r="A9" s="65" t="str">
        <x:v>1</x:v>
      </x:c>
      <x:c r="B9" s="66" t="str">
        <x:v>진열+전단 - 전단만</x:v>
      </x:c>
      <x:c r="C9" s="66" t="str">
        <x:v>PRODUCE 제외</x:v>
      </x:c>
      <x:c r="D9" s="66" t="str">
        <x:v>매출</x:v>
      </x:c>
      <x:c r="E9" s="66" t="str">
        <x:v>13925</x:v>
      </x:c>
      <x:c r="F9" s="66" t="str">
        <x:v>0.007751145636582851</x:v>
      </x:c>
      <x:c r="G9" s="66" t="str">
        <x:v>0.0034907233039259654</x:v>
      </x:c>
      <x:c r="H9" s="66" t="str">
        <x:v>0.012011567969239736</x:v>
      </x:c>
      <x:c r="I9" s="66" t="str">
        <x:v>0.00018130393001387058</x:v>
      </x:c>
      <x:c r="J9" s="67" t="str">
        <x:v>True</x:v>
      </x:c>
    </x:row>
    <x:row r="10" ht="15" hidden="0" customHeight="1">
      <x:c r="A10" s="65" t="str">
        <x:v>1</x:v>
      </x:c>
      <x:c r="B10" s="66" t="str">
        <x:v>진열+전단 - 전단만</x:v>
      </x:c>
      <x:c r="C10" s="66" t="str">
        <x:v>COSMETICS 제외</x:v>
      </x:c>
      <x:c r="D10" s="66" t="str">
        <x:v>판매발생률</x:v>
      </x:c>
      <x:c r="E10" s="66" t="str">
        <x:v>13988</x:v>
      </x:c>
      <x:c r="F10" s="66" t="str">
        <x:v>0.0030722706356490497</x:v>
      </x:c>
      <x:c r="G10" s="66" t="str">
        <x:v>0.002105530005282272</x:v>
      </x:c>
      <x:c r="H10" s="66" t="str">
        <x:v>0.004039011266015828</x:v>
      </x:c>
      <x:c r="I10" s="66" t="str">
        <x:v>2.34985221136827e-10</x:v>
      </x:c>
      <x:c r="J10" s="67" t="str">
        <x:v>True</x:v>
      </x:c>
    </x:row>
    <x:row r="11" ht="15" hidden="0" customHeight="1">
      <x:c r="A11" s="65" t="str">
        <x:v>1</x:v>
      </x:c>
      <x:c r="B11" s="66" t="str">
        <x:v>진열+전단 - 전단만</x:v>
      </x:c>
      <x:c r="C11" s="66" t="str">
        <x:v>COSMETICS 제외</x:v>
      </x:c>
      <x:c r="D11" s="66" t="str">
        <x:v>매출</x:v>
      </x:c>
      <x:c r="E11" s="66" t="str">
        <x:v>13988</x:v>
      </x:c>
      <x:c r="F11" s="66" t="str">
        <x:v>0.00800136945670559</x:v>
      </x:c>
      <x:c r="G11" s="66" t="str">
        <x:v>0.0037125429557713216</x:v>
      </x:c>
      <x:c r="H11" s="66" t="str">
        <x:v>0.012290195957639857</x:v>
      </x:c>
      <x:c r="I11" s="66" t="str">
        <x:v>0.000127772643749059</x:v>
      </x:c>
      <x:c r="J11" s="67" t="str">
        <x:v>True</x:v>
      </x:c>
    </x:row>
    <x:row r="12" ht="15" hidden="0" customHeight="1">
      <x:c r="A12" s="65" t="str">
        <x:v>1</x:v>
      </x:c>
      <x:c r="B12" s="66" t="str">
        <x:v>진열+전단 - 전단만</x:v>
      </x:c>
      <x:c r="C12" s="66" t="str">
        <x:v>NUTRITION 제외</x:v>
      </x:c>
      <x:c r="D12" s="66" t="str">
        <x:v>판매발생률</x:v>
      </x:c>
      <x:c r="E12" s="66" t="str">
        <x:v>13931</x:v>
      </x:c>
      <x:c r="F12" s="66" t="str">
        <x:v>0.0031823511885637665</x:v>
      </x:c>
      <x:c r="G12" s="66" t="str">
        <x:v>0.0022028187487417826</x:v>
      </x:c>
      <x:c r="H12" s="66" t="str">
        <x:v>0.0041618836283857505</x:v>
      </x:c>
      <x:c r="I12" s="66" t="str">
        <x:v>9.591659370793269e-11</x:v>
      </x:c>
      <x:c r="J12" s="67" t="str">
        <x:v>True</x:v>
      </x:c>
    </x:row>
    <x:row r="13" ht="15" hidden="0" customHeight="1">
      <x:c r="A13" s="65" t="str">
        <x:v>1</x:v>
      </x:c>
      <x:c r="B13" s="66" t="str">
        <x:v>진열+전단 - 전단만</x:v>
      </x:c>
      <x:c r="C13" s="66" t="str">
        <x:v>NUTRITION 제외</x:v>
      </x:c>
      <x:c r="D13" s="66" t="str">
        <x:v>매출</x:v>
      </x:c>
      <x:c r="E13" s="66" t="str">
        <x:v>13931</x:v>
      </x:c>
      <x:c r="F13" s="66" t="str">
        <x:v>0.008360853277164598</x:v>
      </x:c>
      <x:c r="G13" s="66" t="str">
        <x:v>0.004026884616766481</x:v>
      </x:c>
      <x:c r="H13" s="66" t="str">
        <x:v>0.012694821937562715</x:v>
      </x:c>
      <x:c r="I13" s="66" t="str">
        <x:v>7.806097714981646e-05</x:v>
      </x:c>
      <x:c r="J13" s="67" t="str">
        <x:v>True</x:v>
      </x:c>
    </x:row>
    <x:row r="14" ht="15" hidden="0" customHeight="1">
      <x:c r="A14" s="65" t="str">
        <x:v>1</x:v>
      </x:c>
      <x:c r="B14" s="66" t="str">
        <x:v>진열+전단 - 진열만</x:v>
      </x:c>
      <x:c r="C14" s="66" t="str">
        <x:v>전체</x:v>
      </x:c>
      <x:c r="D14" s="66" t="str">
        <x:v>판매발생률</x:v>
      </x:c>
      <x:c r="E14" s="66" t="str">
        <x:v>24977</x:v>
      </x:c>
      <x:c r="F14" s="66" t="str">
        <x:v>0.005515179030763906</x:v>
      </x:c>
      <x:c r="G14" s="66" t="str">
        <x:v>0.004735607692368926</x:v>
      </x:c>
      <x:c r="H14" s="66" t="str">
        <x:v>0.006294750369158885</x:v>
      </x:c>
      <x:c r="I14" s="66" t="str">
        <x:v>5.070369461907487e-44</x:v>
      </x:c>
      <x:c r="J14" s="67" t="str">
        <x:v>True</x:v>
      </x:c>
    </x:row>
    <x:row r="15" ht="15" hidden="0" customHeight="1">
      <x:c r="A15" s="65" t="str">
        <x:v>1</x:v>
      </x:c>
      <x:c r="B15" s="66" t="str">
        <x:v>진열+전단 - 진열만</x:v>
      </x:c>
      <x:c r="C15" s="66" t="str">
        <x:v>전체</x:v>
      </x:c>
      <x:c r="D15" s="66" t="str">
        <x:v>매출</x:v>
      </x:c>
      <x:c r="E15" s="66" t="str">
        <x:v>24977</x:v>
      </x:c>
      <x:c r="F15" s="66" t="str">
        <x:v>0.015494004474412987</x:v>
      </x:c>
      <x:c r="G15" s="66" t="str">
        <x:v>0.012045976599925057</x:v>
      </x:c>
      <x:c r="H15" s="66" t="str">
        <x:v>0.018942032348900916</x:v>
      </x:c>
      <x:c r="I15" s="66" t="str">
        <x:v>6.402640587536259e-19</x:v>
      </x:c>
      <x:c r="J15" s="67" t="str">
        <x:v>True</x:v>
      </x:c>
    </x:row>
    <x:row r="16" ht="15" hidden="0" customHeight="1">
      <x:c r="A16" s="65" t="str">
        <x:v>1</x:v>
      </x:c>
      <x:c r="B16" s="66" t="str">
        <x:v>진열+전단 - 진열만</x:v>
      </x:c>
      <x:c r="C16" s="66" t="str">
        <x:v>GROCERY 제외</x:v>
      </x:c>
      <x:c r="D16" s="66" t="str">
        <x:v>판매발생률</x:v>
      </x:c>
      <x:c r="E16" s="66" t="str">
        <x:v>9834</x:v>
      </x:c>
      <x:c r="F16" s="66" t="str">
        <x:v>0.004530744045275645</x:v>
      </x:c>
      <x:c r="G16" s="66" t="str">
        <x:v>0.003493611407512076</x:v>
      </x:c>
      <x:c r="H16" s="66" t="str">
        <x:v>0.005567876683039214</x:v>
      </x:c>
      <x:c r="I16" s="66" t="str">
        <x:v>5.531081067811067e-18</x:v>
      </x:c>
      <x:c r="J16" s="67" t="str">
        <x:v>True</x:v>
      </x:c>
    </x:row>
    <x:row r="17" ht="15" hidden="0" customHeight="1">
      <x:c r="A17" s="65" t="str">
        <x:v>1</x:v>
      </x:c>
      <x:c r="B17" s="66" t="str">
        <x:v>진열+전단 - 진열만</x:v>
      </x:c>
      <x:c r="C17" s="66" t="str">
        <x:v>GROCERY 제외</x:v>
      </x:c>
      <x:c r="D17" s="66" t="str">
        <x:v>매출</x:v>
      </x:c>
      <x:c r="E17" s="66" t="str">
        <x:v>9834</x:v>
      </x:c>
      <x:c r="F17" s="66" t="str">
        <x:v>0.01651656439857053</x:v>
      </x:c>
      <x:c r="G17" s="66" t="str">
        <x:v>0.009630812425445761</x:v>
      </x:c>
      <x:c r="H17" s="66" t="str">
        <x:v>0.023402316371695302</x:v>
      </x:c>
      <x:c r="I17" s="66" t="str">
        <x:v>1.292110240168093e-06</x:v>
      </x:c>
      <x:c r="J17" s="67" t="str">
        <x:v>True</x:v>
      </x:c>
    </x:row>
    <x:row r="18" ht="15" hidden="0" customHeight="1">
      <x:c r="A18" s="65" t="str">
        <x:v>1</x:v>
      </x:c>
      <x:c r="B18" s="66" t="str">
        <x:v>진열+전단 - 진열만</x:v>
      </x:c>
      <x:c r="C18" s="66" t="str">
        <x:v>DRUG GM 제외</x:v>
      </x:c>
      <x:c r="D18" s="66" t="str">
        <x:v>판매발생률</x:v>
      </x:c>
      <x:c r="E18" s="66" t="str">
        <x:v>18639</x:v>
      </x:c>
      <x:c r="F18" s="66" t="str">
        <x:v>0.006596880549697724</x:v>
      </x:c>
      <x:c r="G18" s="66" t="str">
        <x:v>0.005637630513496534</x:v>
      </x:c>
      <x:c r="H18" s="66" t="str">
        <x:v>0.007556130585898915</x:v>
      </x:c>
      <x:c r="I18" s="66" t="str">
        <x:v>1.0372591098060832e-41</x:v>
      </x:c>
      <x:c r="J18" s="67" t="str">
        <x:v>True</x:v>
      </x:c>
    </x:row>
    <x:row r="19" ht="15" hidden="0" customHeight="1">
      <x:c r="A19" s="65" t="str">
        <x:v>1</x:v>
      </x:c>
      <x:c r="B19" s="66" t="str">
        <x:v>진열+전단 - 진열만</x:v>
      </x:c>
      <x:c r="C19" s="66" t="str">
        <x:v>DRUG GM 제외</x:v>
      </x:c>
      <x:c r="D19" s="66" t="str">
        <x:v>매출</x:v>
      </x:c>
      <x:c r="E19" s="66" t="str">
        <x:v>18639</x:v>
      </x:c>
      <x:c r="F19" s="66" t="str">
        <x:v>0.01772271774724533</x:v>
      </x:c>
      <x:c r="G19" s="66" t="str">
        <x:v>0.014326201185080403</x:v>
      </x:c>
      <x:c r="H19" s="66" t="str">
        <x:v>0.02111923430941026</x:v>
      </x:c>
      <x:c r="I19" s="66" t="str">
        <x:v>7.496834734745508e-25</x:v>
      </x:c>
      <x:c r="J19" s="67" t="str">
        <x:v>True</x:v>
      </x:c>
    </x:row>
    <x:row r="20" ht="15" hidden="0" customHeight="1">
      <x:c r="A20" s="65" t="str">
        <x:v>1</x:v>
      </x:c>
      <x:c r="B20" s="66" t="str">
        <x:v>진열+전단 - 진열만</x:v>
      </x:c>
      <x:c r="C20" s="66" t="str">
        <x:v>PRODUCE 제외</x:v>
      </x:c>
      <x:c r="D20" s="66" t="str">
        <x:v>판매발생률</x:v>
      </x:c>
      <x:c r="E20" s="66" t="str">
        <x:v>24625</x:v>
      </x:c>
      <x:c r="F20" s="66" t="str">
        <x:v>0.005476796490913309</x:v>
      </x:c>
      <x:c r="G20" s="66" t="str">
        <x:v>0.004693770100315272</x:v>
      </x:c>
      <x:c r="H20" s="66" t="str">
        <x:v>0.0062598228815113465</x:v>
      </x:c>
      <x:c r="I20" s="66" t="str">
        <x:v>4.483295574620844e-43</x:v>
      </x:c>
      <x:c r="J20" s="67" t="str">
        <x:v>True</x:v>
      </x:c>
    </x:row>
    <x:row r="21" ht="15" hidden="0" customHeight="1">
      <x:c r="A21" s="65" t="str">
        <x:v>1</x:v>
      </x:c>
      <x:c r="B21" s="66" t="str">
        <x:v>진열+전단 - 진열만</x:v>
      </x:c>
      <x:c r="C21" s="66" t="str">
        <x:v>PRODUCE 제외</x:v>
      </x:c>
      <x:c r="D21" s="66" t="str">
        <x:v>매출</x:v>
      </x:c>
      <x:c r="E21" s="66" t="str">
        <x:v>24625</x:v>
      </x:c>
      <x:c r="F21" s="66" t="str">
        <x:v>0.01507371661566706</x:v>
      </x:c>
      <x:c r="G21" s="66" t="str">
        <x:v>0.01165157637348357</x:v>
      </x:c>
      <x:c r="H21" s="66" t="str">
        <x:v>0.01849585685785055</x:v>
      </x:c>
      <x:c r="I21" s="66" t="str">
        <x:v>2.9794184976369035e-18</x:v>
      </x:c>
      <x:c r="J21" s="67" t="str">
        <x:v>True</x:v>
      </x:c>
    </x:row>
    <x:row r="22" ht="15" hidden="0" customHeight="1">
      <x:c r="A22" s="65" t="str">
        <x:v>1</x:v>
      </x:c>
      <x:c r="B22" s="66" t="str">
        <x:v>진열+전단 - 진열만</x:v>
      </x:c>
      <x:c r="C22" s="66" t="str">
        <x:v>COSMETICS 제외</x:v>
      </x:c>
      <x:c r="D22" s="66" t="str">
        <x:v>판매발생률</x:v>
      </x:c>
      <x:c r="E22" s="66" t="str">
        <x:v>24729</x:v>
      </x:c>
      <x:c r="F22" s="66" t="str">
        <x:v>0.005569642923456164</x:v>
      </x:c>
      <x:c r="G22" s="66" t="str">
        <x:v>0.004782299931625951</x:v>
      </x:c>
      <x:c r="H22" s="66" t="str">
        <x:v>0.006356985915286376</x:v>
      </x:c>
      <x:c r="I22" s="66" t="str">
        <x:v>5.162260042860797e-44</x:v>
      </x:c>
      <x:c r="J22" s="67" t="str">
        <x:v>True</x:v>
      </x:c>
    </x:row>
    <x:row r="23" ht="15" hidden="0" customHeight="1">
      <x:c r="A23" s="65" t="str">
        <x:v>1</x:v>
      </x:c>
      <x:c r="B23" s="66" t="str">
        <x:v>진열+전단 - 진열만</x:v>
      </x:c>
      <x:c r="C23" s="66" t="str">
        <x:v>COSMETICS 제외</x:v>
      </x:c>
      <x:c r="D23" s="66" t="str">
        <x:v>매출</x:v>
      </x:c>
      <x:c r="E23" s="66" t="str">
        <x:v>24729</x:v>
      </x:c>
      <x:c r="F23" s="66" t="str">
        <x:v>0.015645032723991932</x:v>
      </x:c>
      <x:c r="G23" s="66" t="str">
        <x:v>0.012162572745163613</x:v>
      </x:c>
      <x:c r="H23" s="66" t="str">
        <x:v>0.01912749270282025</x:v>
      </x:c>
      <x:c r="I23" s="66" t="str">
        <x:v>6.522491735265264e-19</x:v>
      </x:c>
      <x:c r="J23" s="67" t="str">
        <x:v>True</x:v>
      </x:c>
    </x:row>
    <x:row r="24" ht="15" hidden="0" customHeight="1">
      <x:c r="A24" s="65" t="str">
        <x:v>1</x:v>
      </x:c>
      <x:c r="B24" s="66" t="str">
        <x:v>진열+전단 - 진열만</x:v>
      </x:c>
      <x:c r="C24" s="66" t="str">
        <x:v>NUTRITION 제외</x:v>
      </x:c>
      <x:c r="D24" s="66" t="str">
        <x:v>판매발생률</x:v>
      </x:c>
      <x:c r="E24" s="66" t="str">
        <x:v>24168</x:v>
      </x:c>
      <x:c r="F24" s="66" t="str">
        <x:v>0.005636660662210353</x:v>
      </x:c>
      <x:c r="G24" s="66" t="str">
        <x:v>0.00483532897374347</x:v>
      </x:c>
      <x:c r="H24" s="66" t="str">
        <x:v>0.006437992350677236</x:v>
      </x:c>
      <x:c r="I24" s="66" t="str">
        <x:v>1.528724779869184e-43</x:v>
      </x:c>
      <x:c r="J24" s="67" t="str">
        <x:v>True</x:v>
      </x:c>
    </x:row>
    <x:row r="25" ht="15" hidden="0" customHeight="1">
      <x:c r="A25" s="65" t="str">
        <x:v>1</x:v>
      </x:c>
      <x:c r="B25" s="66" t="str">
        <x:v>진열+전단 - 진열만</x:v>
      </x:c>
      <x:c r="C25" s="66" t="str">
        <x:v>NUTRITION 제외</x:v>
      </x:c>
      <x:c r="D25" s="66" t="str">
        <x:v>매출</x:v>
      </x:c>
      <x:c r="E25" s="66" t="str">
        <x:v>24168</x:v>
      </x:c>
      <x:c r="F25" s="66" t="str">
        <x:v>0.016165633620629727</x:v>
      </x:c>
      <x:c r="G25" s="66" t="str">
        <x:v>0.01261988774226706</x:v>
      </x:c>
      <x:c r="H25" s="66" t="str">
        <x:v>0.019711379498992394</x:v>
      </x:c>
      <x:c r="I25" s="66" t="str">
        <x:v>2.0182974508031788e-19</x:v>
      </x:c>
      <x:c r="J25" s="67" t="str">
        <x:v>True</x:v>
      </x:c>
    </x:row>
    <x:row r="26" ht="15" hidden="0" customHeight="1">
      <x:c r="A26" s="65" t="str">
        <x:v>2</x:v>
      </x:c>
      <x:c r="B26" s="66" t="str">
        <x:v>진열+전단 - 전단만</x:v>
      </x:c>
      <x:c r="C26" s="66" t="str">
        <x:v>전체</x:v>
      </x:c>
      <x:c r="D26" s="66" t="str">
        <x:v>판매발생률</x:v>
      </x:c>
      <x:c r="E26" s="66" t="str">
        <x:v>15205</x:v>
      </x:c>
      <x:c r="F26" s="66" t="str">
        <x:v>0.0031363108719553038</x:v>
      </x:c>
      <x:c r="G26" s="66" t="str">
        <x:v>0.0022373169550258384</x:v>
      </x:c>
      <x:c r="H26" s="66" t="str">
        <x:v>0.004035304788884769</x:v>
      </x:c>
      <x:c r="I26" s="66" t="str">
        <x:v>4.020032126491108e-12</x:v>
      </x:c>
      <x:c r="J26" s="67" t="str">
        <x:v>True</x:v>
      </x:c>
    </x:row>
    <x:row r="27" ht="15" hidden="0" customHeight="1">
      <x:c r="A27" s="65" t="str">
        <x:v>2</x:v>
      </x:c>
      <x:c r="B27" s="66" t="str">
        <x:v>진열+전단 - 전단만</x:v>
      </x:c>
      <x:c r="C27" s="66" t="str">
        <x:v>전체</x:v>
      </x:c>
      <x:c r="D27" s="66" t="str">
        <x:v>매출</x:v>
      </x:c>
      <x:c r="E27" s="66" t="str">
        <x:v>15205</x:v>
      </x:c>
      <x:c r="F27" s="66" t="str">
        <x:v>0.007824494262215142</x:v>
      </x:c>
      <x:c r="G27" s="66" t="str">
        <x:v>0.003901177512277175</x:v>
      </x:c>
      <x:c r="H27" s="66" t="str">
        <x:v>0.011747811012153109</x:v>
      </x:c>
      <x:c r="I27" s="66" t="str">
        <x:v>4.635104109867792e-05</x:v>
      </x:c>
      <x:c r="J27" s="67" t="str">
        <x:v>True</x:v>
      </x:c>
    </x:row>
    <x:row r="28" ht="15" hidden="0" customHeight="1">
      <x:c r="A28" s="65" t="str">
        <x:v>2</x:v>
      </x:c>
      <x:c r="B28" s="66" t="str">
        <x:v>진열+전단 - 전단만</x:v>
      </x:c>
      <x:c r="C28" s="66" t="str">
        <x:v>GROCERY 제외</x:v>
      </x:c>
      <x:c r="D28" s="66" t="str">
        <x:v>판매발생률</x:v>
      </x:c>
      <x:c r="E28" s="66" t="str">
        <x:v>4879</x:v>
      </x:c>
      <x:c r="F28" s="66" t="str">
        <x:v>0.003281652570673352</x:v>
      </x:c>
      <x:c r="G28" s="66" t="str">
        <x:v>0.0018318151572472086</x:v>
      </x:c>
      <x:c r="H28" s="66" t="str">
        <x:v>0.004731489984099495</x:v>
      </x:c>
      <x:c r="I28" s="66" t="str">
        <x:v>4.5740780150171655e-06</x:v>
      </x:c>
      <x:c r="J28" s="67" t="str">
        <x:v>True</x:v>
      </x:c>
    </x:row>
    <x:row r="29" ht="15" hidden="0" customHeight="1">
      <x:c r="A29" s="65" t="str">
        <x:v>2</x:v>
      </x:c>
      <x:c r="B29" s="66" t="str">
        <x:v>진열+전단 - 전단만</x:v>
      </x:c>
      <x:c r="C29" s="66" t="str">
        <x:v>GROCERY 제외</x:v>
      </x:c>
      <x:c r="D29" s="66" t="str">
        <x:v>매출</x:v>
      </x:c>
      <x:c r="E29" s="66" t="str">
        <x:v>4879</x:v>
      </x:c>
      <x:c r="F29" s="66" t="str">
        <x:v>0.010308674783147453</x:v>
      </x:c>
      <x:c r="G29" s="66" t="str">
        <x:v>0.0009572354408982318</x:v>
      </x:c>
      <x:c r="H29" s="66" t="str">
        <x:v>0.019660114125396675</x:v>
      </x:c>
      <x:c r="I29" s="66" t="str">
        <x:v>0.015361957002483568</x:v>
      </x:c>
      <x:c r="J29" s="67" t="str">
        <x:v>True</x:v>
      </x:c>
    </x:row>
    <x:row r="30" ht="15" hidden="0" customHeight="1">
      <x:c r="A30" s="65" t="str">
        <x:v>2</x:v>
      </x:c>
      <x:c r="B30" s="66" t="str">
        <x:v>진열+전단 - 전단만</x:v>
      </x:c>
      <x:c r="C30" s="66" t="str">
        <x:v>DRUG GM 제외</x:v>
      </x:c>
      <x:c r="D30" s="66" t="str">
        <x:v>판매발생률</x:v>
      </x:c>
      <x:c r="E30" s="66" t="str">
        <x:v>12123</x:v>
      </x:c>
      <x:c r="F30" s="66" t="str">
        <x:v>0.0037640685793524976</x:v>
      </x:c>
      <x:c r="G30" s="66" t="str">
        <x:v>0.0027017838172585535</x:v>
      </x:c>
      <x:c r="H30" s="66" t="str">
        <x:v>0.004826353341446442</x:v>
      </x:c>
      <x:c r="I30" s="66" t="str">
        <x:v>1.8922165415061466e-12</x:v>
      </x:c>
      <x:c r="J30" s="67" t="str">
        <x:v>True</x:v>
      </x:c>
    </x:row>
    <x:row r="31" ht="15" hidden="0" customHeight="1">
      <x:c r="A31" s="65" t="str">
        <x:v>2</x:v>
      </x:c>
      <x:c r="B31" s="66" t="str">
        <x:v>진열+전단 - 전단만</x:v>
      </x:c>
      <x:c r="C31" s="66" t="str">
        <x:v>DRUG GM 제외</x:v>
      </x:c>
      <x:c r="D31" s="66" t="str">
        <x:v>매출</x:v>
      </x:c>
      <x:c r="E31" s="66" t="str">
        <x:v>12123</x:v>
      </x:c>
      <x:c r="F31" s="66" t="str">
        <x:v>0.010683561104263859</x:v>
      </x:c>
      <x:c r="G31" s="66" t="str">
        <x:v>0.006853244671789119</x:v>
      </x:c>
      <x:c r="H31" s="66" t="str">
        <x:v>0.0145138775367386</x:v>
      </x:c>
      <x:c r="I31" s="66" t="str">
        <x:v>2.2904684939245597e-08</x:v>
      </x:c>
      <x:c r="J31" s="67" t="str">
        <x:v>True</x:v>
      </x:c>
    </x:row>
    <x:row r="32" ht="15" hidden="0" customHeight="1">
      <x:c r="A32" s="65" t="str">
        <x:v>2</x:v>
      </x:c>
      <x:c r="B32" s="66" t="str">
        <x:v>진열+전단 - 전단만</x:v>
      </x:c>
      <x:c r="C32" s="66" t="str">
        <x:v>PRODUCE 제외</x:v>
      </x:c>
      <x:c r="D32" s="66" t="str">
        <x:v>판매발생률</x:v>
      </x:c>
      <x:c r="E32" s="66" t="str">
        <x:v>15000</x:v>
      </x:c>
      <x:c r="F32" s="66" t="str">
        <x:v>0.003183676095685929</x:v>
      </x:c>
      <x:c r="G32" s="66" t="str">
        <x:v>0.002283014315908792</x:v>
      </x:c>
      <x:c r="H32" s="66" t="str">
        <x:v>0.004084337875463066</x:v>
      </x:c>
      <x:c r="I32" s="66" t="str">
        <x:v>2.1304722436098096e-12</x:v>
      </x:c>
      <x:c r="J32" s="67" t="str">
        <x:v>True</x:v>
      </x:c>
    </x:row>
    <x:row r="33" ht="15" hidden="0" customHeight="1">
      <x:c r="A33" s="65" t="str">
        <x:v>2</x:v>
      </x:c>
      <x:c r="B33" s="66" t="str">
        <x:v>진열+전단 - 전단만</x:v>
      </x:c>
      <x:c r="C33" s="66" t="str">
        <x:v>PRODUCE 제외</x:v>
      </x:c>
      <x:c r="D33" s="66" t="str">
        <x:v>매출</x:v>
      </x:c>
      <x:c r="E33" s="66" t="str">
        <x:v>15000</x:v>
      </x:c>
      <x:c r="F33" s="66" t="str">
        <x:v>0.00766406883800582</x:v>
      </x:c>
      <x:c r="G33" s="66" t="str">
        <x:v>0.0037540673658587606</x:v>
      </x:c>
      <x:c r="H33" s="66" t="str">
        <x:v>0.011574070310152878</x:v>
      </x:c>
      <x:c r="I33" s="66" t="str">
        <x:v>6.105931550227724e-05</x:v>
      </x:c>
      <x:c r="J33" s="67" t="str">
        <x:v>True</x:v>
      </x:c>
    </x:row>
    <x:row r="34" ht="15" hidden="0" customHeight="1">
      <x:c r="A34" s="65" t="str">
        <x:v>2</x:v>
      </x:c>
      <x:c r="B34" s="66" t="str">
        <x:v>진열+전단 - 전단만</x:v>
      </x:c>
      <x:c r="C34" s="66" t="str">
        <x:v>COSMETICS 제외</x:v>
      </x:c>
      <x:c r="D34" s="66" t="str">
        <x:v>판매발생률</x:v>
      </x:c>
      <x:c r="E34" s="66" t="str">
        <x:v>15054</x:v>
      </x:c>
      <x:c r="F34" s="66" t="str">
        <x:v>0.00308554946924679</x:v>
      </x:c>
      <x:c r="G34" s="66" t="str">
        <x:v>0.002187476741406034</x:v>
      </x:c>
      <x:c r="H34" s="66" t="str">
        <x:v>0.003983622197087545</x:v>
      </x:c>
      <x:c r="I34" s="66" t="str">
        <x:v>8.249570606197124e-12</x:v>
      </x:c>
      <x:c r="J34" s="67" t="str">
        <x:v>True</x:v>
      </x:c>
    </x:row>
    <x:row r="35" ht="15" hidden="0" customHeight="1">
      <x:c r="A35" s="65" t="str">
        <x:v>2</x:v>
      </x:c>
      <x:c r="B35" s="66" t="str">
        <x:v>진열+전단 - 전단만</x:v>
      </x:c>
      <x:c r="C35" s="66" t="str">
        <x:v>COSMETICS 제외</x:v>
      </x:c>
      <x:c r="D35" s="66" t="str">
        <x:v>매출</x:v>
      </x:c>
      <x:c r="E35" s="66" t="str">
        <x:v>15054</x:v>
      </x:c>
      <x:c r="F35" s="66" t="str">
        <x:v>0.007613660369058544</x:v>
      </x:c>
      <x:c r="G35" s="66" t="str">
        <x:v>0.0036797979573830897</x:v>
      </x:c>
      <x:c r="H35" s="66" t="str">
        <x:v>0.011547522780733998</x:v>
      </x:c>
      <x:c r="I35" s="66" t="str">
        <x:v>7.429463013375875e-05</x:v>
      </x:c>
      <x:c r="J35" s="67" t="str">
        <x:v>True</x:v>
      </x:c>
    </x:row>
    <x:row r="36" ht="15" hidden="0" customHeight="1">
      <x:c r="A36" s="65" t="str">
        <x:v>2</x:v>
      </x:c>
      <x:c r="B36" s="66" t="str">
        <x:v>진열+전단 - 전단만</x:v>
      </x:c>
      <x:c r="C36" s="66" t="str">
        <x:v>NUTRITION 제외</x:v>
      </x:c>
      <x:c r="D36" s="66" t="str">
        <x:v>판매발생률</x:v>
      </x:c>
      <x:c r="E36" s="66" t="str">
        <x:v>15009</x:v>
      </x:c>
      <x:c r="F36" s="66" t="str">
        <x:v>0.003167396304413011</x:v>
      </x:c>
      <x:c r="G36" s="66" t="str">
        <x:v>0.0022594413772019945</x:v>
      </x:c>
      <x:c r="H36" s="66" t="str">
        <x:v>0.004075351231624028</x:v>
      </x:c>
      <x:c r="I36" s="66" t="str">
        <x:v>4.030750012371537e-12</x:v>
      </x:c>
      <x:c r="J36" s="67" t="str">
        <x:v>True</x:v>
      </x:c>
    </x:row>
    <x:row r="37" ht="15" hidden="0" customHeight="1">
      <x:c r="A37" s="65" t="str">
        <x:v>2</x:v>
      </x:c>
      <x:c r="B37" s="66" t="str">
        <x:v>진열+전단 - 전단만</x:v>
      </x:c>
      <x:c r="C37" s="66" t="str">
        <x:v>NUTRITION 제외</x:v>
      </x:c>
      <x:c r="D37" s="66" t="str">
        <x:v>매출</x:v>
      </x:c>
      <x:c r="E37" s="66" t="str">
        <x:v>15009</x:v>
      </x:c>
      <x:c r="F37" s="66" t="str">
        <x:v>0.007922127935031966</x:v>
      </x:c>
      <x:c r="G37" s="66" t="str">
        <x:v>0.003950380256001544</x:v>
      </x:c>
      <x:c r="H37" s="66" t="str">
        <x:v>0.01189387561406239</x:v>
      </x:c>
      <x:c r="I37" s="66" t="str">
        <x:v>4.625219940822735e-05</x:v>
      </x:c>
      <x:c r="J37" s="67" t="str">
        <x:v>True</x:v>
      </x:c>
    </x:row>
    <x:row r="38" ht="15" hidden="0" customHeight="1">
      <x:c r="A38" s="65" t="str">
        <x:v>2</x:v>
      </x:c>
      <x:c r="B38" s="66" t="str">
        <x:v>진열+전단 - 진열만</x:v>
      </x:c>
      <x:c r="C38" s="66" t="str">
        <x:v>전체</x:v>
      </x:c>
      <x:c r="D38" s="66" t="str">
        <x:v>판매발생률</x:v>
      </x:c>
      <x:c r="E38" s="66" t="str">
        <x:v>25435</x:v>
      </x:c>
      <x:c r="F38" s="66" t="str">
        <x:v>0.005609093715993355</x:v>
      </x:c>
      <x:c r="G38" s="66" t="str">
        <x:v>0.004841316049563013</x:v>
      </x:c>
      <x:c r="H38" s="66" t="str">
        <x:v>0.006376871382423697</x:v>
      </x:c>
      <x:c r="I38" s="66" t="str">
        <x:v>8.322706860645463e-47</x:v>
      </x:c>
      <x:c r="J38" s="67" t="str">
        <x:v>True</x:v>
      </x:c>
    </x:row>
    <x:row r="39" ht="15" hidden="0" customHeight="1">
      <x:c r="A39" s="65" t="str">
        <x:v>2</x:v>
      </x:c>
      <x:c r="B39" s="66" t="str">
        <x:v>진열+전단 - 진열만</x:v>
      </x:c>
      <x:c r="C39" s="66" t="str">
        <x:v>전체</x:v>
      </x:c>
      <x:c r="D39" s="66" t="str">
        <x:v>매출</x:v>
      </x:c>
      <x:c r="E39" s="66" t="str">
        <x:v>25435</x:v>
      </x:c>
      <x:c r="F39" s="66" t="str">
        <x:v>0.015808545471897684</x:v>
      </x:c>
      <x:c r="G39" s="66" t="str">
        <x:v>0.01248148175594403</x:v>
      </x:c>
      <x:c r="H39" s="66" t="str">
        <x:v>0.019135609187851337</x:v>
      </x:c>
      <x:c r="I39" s="66" t="str">
        <x:v>6.217018507932174e-21</x:v>
      </x:c>
      <x:c r="J39" s="67" t="str">
        <x:v>True</x:v>
      </x:c>
    </x:row>
    <x:row r="40" ht="15" hidden="0" customHeight="1">
      <x:c r="A40" s="65" t="str">
        <x:v>2</x:v>
      </x:c>
      <x:c r="B40" s="66" t="str">
        <x:v>진열+전단 - 진열만</x:v>
      </x:c>
      <x:c r="C40" s="66" t="str">
        <x:v>GROCERY 제외</x:v>
      </x:c>
      <x:c r="D40" s="66" t="str">
        <x:v>판매발생률</x:v>
      </x:c>
      <x:c r="E40" s="66" t="str">
        <x:v>10112</x:v>
      </x:c>
      <x:c r="F40" s="66" t="str">
        <x:v>0.005099264494371226</x:v>
      </x:c>
      <x:c r="G40" s="66" t="str">
        <x:v>0.004019866968760853</x:v>
      </x:c>
      <x:c r="H40" s="66" t="str">
        <x:v>0.006178662019981599</x:v>
      </x:c>
      <x:c r="I40" s="66" t="str">
        <x:v>1.0280550795315385e-20</x:v>
      </x:c>
      <x:c r="J40" s="67" t="str">
        <x:v>True</x:v>
      </x:c>
    </x:row>
    <x:row r="41" ht="15" hidden="0" customHeight="1">
      <x:c r="A41" s="65" t="str">
        <x:v>2</x:v>
      </x:c>
      <x:c r="B41" s="66" t="str">
        <x:v>진열+전단 - 진열만</x:v>
      </x:c>
      <x:c r="C41" s="66" t="str">
        <x:v>GROCERY 제외</x:v>
      </x:c>
      <x:c r="D41" s="66" t="str">
        <x:v>매출</x:v>
      </x:c>
      <x:c r="E41" s="66" t="str">
        <x:v>10112</x:v>
      </x:c>
      <x:c r="F41" s="66" t="str">
        <x:v>0.01751422033655751</x:v>
      </x:c>
      <x:c r="G41" s="66" t="str">
        <x:v>0.010883339071697883</x:v>
      </x:c>
      <x:c r="H41" s="66" t="str">
        <x:v>0.02414510160141714</x:v>
      </x:c>
      <x:c r="I41" s="66" t="str">
        <x:v>1.1275936993022893e-07</x:v>
      </x:c>
      <x:c r="J41" s="67" t="str">
        <x:v>True</x:v>
      </x:c>
    </x:row>
    <x:row r="42" ht="15" hidden="0" customHeight="1">
      <x:c r="A42" s="65" t="str">
        <x:v>2</x:v>
      </x:c>
      <x:c r="B42" s="66" t="str">
        <x:v>진열+전단 - 진열만</x:v>
      </x:c>
      <x:c r="C42" s="66" t="str">
        <x:v>DRUG GM 제외</x:v>
      </x:c>
      <x:c r="D42" s="66" t="str">
        <x:v>판매발생률</x:v>
      </x:c>
      <x:c r="E42" s="66" t="str">
        <x:v>18932</x:v>
      </x:c>
      <x:c r="F42" s="66" t="str">
        <x:v>0.00656808862647485</x:v>
      </x:c>
      <x:c r="G42" s="66" t="str">
        <x:v>0.005639206904485628</x:v>
      </x:c>
      <x:c r="H42" s="66" t="str">
        <x:v>0.007496970348464072</x:v>
      </x:c>
      <x:c r="I42" s="66" t="str">
        <x:v>5.604452221490462e-44</x:v>
      </x:c>
      <x:c r="J42" s="67" t="str">
        <x:v>True</x:v>
      </x:c>
    </x:row>
    <x:row r="43" ht="15" hidden="0" customHeight="1">
      <x:c r="A43" s="65" t="str">
        <x:v>2</x:v>
      </x:c>
      <x:c r="B43" s="66" t="str">
        <x:v>진열+전단 - 진열만</x:v>
      </x:c>
      <x:c r="C43" s="66" t="str">
        <x:v>DRUG GM 제외</x:v>
      </x:c>
      <x:c r="D43" s="66" t="str">
        <x:v>매출</x:v>
      </x:c>
      <x:c r="E43" s="66" t="str">
        <x:v>18932</x:v>
      </x:c>
      <x:c r="F43" s="66" t="str">
        <x:v>0.017924649609254155</x:v>
      </x:c>
      <x:c r="G43" s="66" t="str">
        <x:v>0.014724164041928682</x:v>
      </x:c>
      <x:c r="H43" s="66" t="str">
        <x:v>0.021125135176579626</x:v>
      </x:c>
      <x:c r="I43" s="66" t="str">
        <x:v>2.460162287370588e-28</x:v>
      </x:c>
      <x:c r="J43" s="67" t="str">
        <x:v>True</x:v>
      </x:c>
    </x:row>
    <x:row r="44" ht="15" hidden="0" customHeight="1">
      <x:c r="A44" s="65" t="str">
        <x:v>2</x:v>
      </x:c>
      <x:c r="B44" s="66" t="str">
        <x:v>진열+전단 - 진열만</x:v>
      </x:c>
      <x:c r="C44" s="66" t="str">
        <x:v>PRODUCE 제외</x:v>
      </x:c>
      <x:c r="D44" s="66" t="str">
        <x:v>판매발생률</x:v>
      </x:c>
      <x:c r="E44" s="66" t="str">
        <x:v>25046</x:v>
      </x:c>
      <x:c r="F44" s="66" t="str">
        <x:v>0.005467544300198057</x:v>
      </x:c>
      <x:c r="G44" s="66" t="str">
        <x:v>0.004699803227413787</x:v>
      </x:c>
      <x:c r="H44" s="66" t="str">
        <x:v>0.006235285372982327</x:v>
      </x:c>
      <x:c r="I44" s="66" t="str">
        <x:v>1.399489019720236e-44</x:v>
      </x:c>
      <x:c r="J44" s="67" t="str">
        <x:v>True</x:v>
      </x:c>
    </x:row>
    <x:row r="45" ht="15" hidden="0" customHeight="1">
      <x:c r="A45" s="65" t="str">
        <x:v>2</x:v>
      </x:c>
      <x:c r="B45" s="66" t="str">
        <x:v>진열+전단 - 진열만</x:v>
      </x:c>
      <x:c r="C45" s="66" t="str">
        <x:v>PRODUCE 제외</x:v>
      </x:c>
      <x:c r="D45" s="66" t="str">
        <x:v>매출</x:v>
      </x:c>
      <x:c r="E45" s="66" t="str">
        <x:v>25046</x:v>
      </x:c>
      <x:c r="F45" s="66" t="str">
        <x:v>0.015096524104257566</x:v>
      </x:c>
      <x:c r="G45" s="66" t="str">
        <x:v>0.011792995117263538</x:v>
      </x:c>
      <x:c r="H45" s="66" t="str">
        <x:v>0.018400053091251593</x:v>
      </x:c>
      <x:c r="I45" s="66" t="str">
        <x:v>1.670549415506531e-19</x:v>
      </x:c>
      <x:c r="J45" s="67" t="str">
        <x:v>True</x:v>
      </x:c>
    </x:row>
    <x:row r="46" ht="15" hidden="0" customHeight="1">
      <x:c r="A46" s="65" t="str">
        <x:v>2</x:v>
      </x:c>
      <x:c r="B46" s="66" t="str">
        <x:v>진열+전단 - 진열만</x:v>
      </x:c>
      <x:c r="C46" s="66" t="str">
        <x:v>COSMETICS 제외</x:v>
      </x:c>
      <x:c r="D46" s="66" t="str">
        <x:v>판매발생률</x:v>
      </x:c>
      <x:c r="E46" s="66" t="str">
        <x:v>25161</x:v>
      </x:c>
      <x:c r="F46" s="66" t="str">
        <x:v>0.005680034726776426</x:v>
      </x:c>
      <x:c r="G46" s="66" t="str">
        <x:v>0.004904396656665141</x:v>
      </x:c>
      <x:c r="H46" s="66" t="str">
        <x:v>0.006455672796887711</x:v>
      </x:c>
      <x:c r="I46" s="66" t="str">
        <x:v>5.088552775327702e-47</x:v>
      </x:c>
      <x:c r="J46" s="67" t="str">
        <x:v>True</x:v>
      </x:c>
    </x:row>
    <x:row r="47" ht="15" hidden="0" customHeight="1">
      <x:c r="A47" s="65" t="str">
        <x:v>2</x:v>
      </x:c>
      <x:c r="B47" s="66" t="str">
        <x:v>진열+전단 - 진열만</x:v>
      </x:c>
      <x:c r="C47" s="66" t="str">
        <x:v>COSMETICS 제외</x:v>
      </x:c>
      <x:c r="D47" s="66" t="str">
        <x:v>매출</x:v>
      </x:c>
      <x:c r="E47" s="66" t="str">
        <x:v>25161</x:v>
      </x:c>
      <x:c r="F47" s="66" t="str">
        <x:v>0.016061201674312638</x:v>
      </x:c>
      <x:c r="G47" s="66" t="str">
        <x:v>0.012703022923820351</x:v>
      </x:c>
      <x:c r="H47" s="66" t="str">
        <x:v>0.019419380424804924</x:v>
      </x:c>
      <x:c r="I47" s="66" t="str">
        <x:v>3.487911187235962e-21</x:v>
      </x:c>
      <x:c r="J47" s="67" t="str">
        <x:v>True</x:v>
      </x:c>
    </x:row>
    <x:row r="48" ht="15" hidden="0" customHeight="1">
      <x:c r="A48" s="65" t="str">
        <x:v>2</x:v>
      </x:c>
      <x:c r="B48" s="66" t="str">
        <x:v>진열+전단 - 진열만</x:v>
      </x:c>
      <x:c r="C48" s="66" t="str">
        <x:v>NUTRITION 제외</x:v>
      </x:c>
      <x:c r="D48" s="66" t="str">
        <x:v>판매발생률</x:v>
      </x:c>
      <x:c r="E48" s="66" t="str">
        <x:v>24618</x:v>
      </x:c>
      <x:c r="F48" s="66" t="str">
        <x:v>0.005720456812315115</x:v>
      </x:c>
      <x:c r="G48" s="66" t="str">
        <x:v>0.004930548825743355</x:v>
      </x:c>
      <x:c r="H48" s="66" t="str">
        <x:v>0.006510364798886875</x:v>
      </x:c>
      <x:c r="I48" s="66" t="str">
        <x:v>4.977271411627361e-46</x:v>
      </x:c>
      <x:c r="J48" s="67" t="str">
        <x:v>True</x:v>
      </x:c>
    </x:row>
    <x:row r="49" ht="15" hidden="0" customHeight="1">
      <x:c r="A49" s="65" t="str">
        <x:v>2</x:v>
      </x:c>
      <x:c r="B49" s="66" t="str">
        <x:v>진열+전단 - 진열만</x:v>
      </x:c>
      <x:c r="C49" s="66" t="str">
        <x:v>NUTRITION 제외</x:v>
      </x:c>
      <x:c r="D49" s="66" t="str">
        <x:v>매출</x:v>
      </x:c>
      <x:c r="E49" s="66" t="str">
        <x:v>24618</x:v>
      </x:c>
      <x:c r="F49" s="66" t="str">
        <x:v>0.01647132589154663</x:v>
      </x:c>
      <x:c r="G49" s="66" t="str">
        <x:v>0.013050814477437781</x:v>
      </x:c>
      <x:c r="H49" s="66" t="str">
        <x:v>0.01989183730565548</x:v>
      </x:c>
      <x:c r="I49" s="66" t="str">
        <x:v>1.8944559688914786e-21</x:v>
      </x:c>
      <x:c r="J49" s="67" t="str">
        <x:v>True</x:v>
      </x:c>
    </x:row>
    <x:row r="50" ht="15" hidden="0" customHeight="1">
      <x:c r="A50" s="65" t="str">
        <x:v>4</x:v>
      </x:c>
      <x:c r="B50" s="66" t="str">
        <x:v>진열+전단 - 전단만</x:v>
      </x:c>
      <x:c r="C50" s="66" t="str">
        <x:v>전체</x:v>
      </x:c>
      <x:c r="D50" s="66" t="str">
        <x:v>판매발생률</x:v>
      </x:c>
      <x:c r="E50" s="66" t="str">
        <x:v>17029</x:v>
      </x:c>
      <x:c r="F50" s="66" t="str">
        <x:v>0.004223051362411094</x:v>
      </x:c>
      <x:c r="G50" s="66" t="str">
        <x:v>0.003382685477412511</x:v>
      </x:c>
      <x:c r="H50" s="66" t="str">
        <x:v>0.005063417247409678</x:v>
      </x:c>
      <x:c r="I50" s="66" t="str">
        <x:v>3.444417335875599e-23</x:v>
      </x:c>
      <x:c r="J50" s="67" t="str">
        <x:v>True</x:v>
      </x:c>
    </x:row>
    <x:row r="51" ht="15" hidden="0" customHeight="1">
      <x:c r="A51" s="65" t="str">
        <x:v>4</x:v>
      </x:c>
      <x:c r="B51" s="66" t="str">
        <x:v>진열+전단 - 전단만</x:v>
      </x:c>
      <x:c r="C51" s="66" t="str">
        <x:v>전체</x:v>
      </x:c>
      <x:c r="D51" s="66" t="str">
        <x:v>매출</x:v>
      </x:c>
      <x:c r="E51" s="66" t="str">
        <x:v>17029</x:v>
      </x:c>
      <x:c r="F51" s="66" t="str">
        <x:v>0.011851080940043049</x:v>
      </x:c>
      <x:c r="G51" s="66" t="str">
        <x:v>0.007756418051330732</x:v>
      </x:c>
      <x:c r="H51" s="66" t="str">
        <x:v>0.015945743828755365</x:v>
      </x:c>
      <x:c r="I51" s="66" t="str">
        <x:v>7.024961771482324e-09</x:v>
      </x:c>
      <x:c r="J51" s="67" t="str">
        <x:v>True</x:v>
      </x:c>
    </x:row>
    <x:row r="52" ht="15" hidden="0" customHeight="1">
      <x:c r="A52" s="65" t="str">
        <x:v>4</x:v>
      </x:c>
      <x:c r="B52" s="66" t="str">
        <x:v>진열+전단 - 전단만</x:v>
      </x:c>
      <x:c r="C52" s="66" t="str">
        <x:v>GROCERY 제외</x:v>
      </x:c>
      <x:c r="D52" s="66" t="str">
        <x:v>판매발생률</x:v>
      </x:c>
      <x:c r="E52" s="66" t="str">
        <x:v>5712</x:v>
      </x:c>
      <x:c r="F52" s="66" t="str">
        <x:v>0.004044479759713067</x:v>
      </x:c>
      <x:c r="G52" s="66" t="str">
        <x:v>0.002666720629442904</x:v>
      </x:c>
      <x:c r="H52" s="66" t="str">
        <x:v>0.00542223888998323</x:v>
      </x:c>
      <x:c r="I52" s="66" t="str">
        <x:v>4.366159350714165e-09</x:v>
      </x:c>
      <x:c r="J52" s="67" t="str">
        <x:v>True</x:v>
      </x:c>
    </x:row>
    <x:row r="53" ht="15" hidden="0" customHeight="1">
      <x:c r="A53" s="65" t="str">
        <x:v>4</x:v>
      </x:c>
      <x:c r="B53" s="66" t="str">
        <x:v>진열+전단 - 전단만</x:v>
      </x:c>
      <x:c r="C53" s="66" t="str">
        <x:v>GROCERY 제외</x:v>
      </x:c>
      <x:c r="D53" s="66" t="str">
        <x:v>매출</x:v>
      </x:c>
      <x:c r="E53" s="66" t="str">
        <x:v>5712</x:v>
      </x:c>
      <x:c r="F53" s="66" t="str">
        <x:v>0.01614394675036298</x:v>
      </x:c>
      <x:c r="G53" s="66" t="str">
        <x:v>0.005626334547101203</x:v>
      </x:c>
      <x:c r="H53" s="66" t="str">
        <x:v>0.026661558953624757</x:v>
      </x:c>
      <x:c r="I53" s="66" t="str">
        <x:v>0.001312745366110559</x:v>
      </x:c>
      <x:c r="J53" s="67" t="str">
        <x:v>True</x:v>
      </x:c>
    </x:row>
    <x:row r="54" ht="15" hidden="0" customHeight="1">
      <x:c r="A54" s="65" t="str">
        <x:v>4</x:v>
      </x:c>
      <x:c r="B54" s="66" t="str">
        <x:v>진열+전단 - 전단만</x:v>
      </x:c>
      <x:c r="C54" s="66" t="str">
        <x:v>DRUG GM 제외</x:v>
      </x:c>
      <x:c r="D54" s="66" t="str">
        <x:v>판매발생률</x:v>
      </x:c>
      <x:c r="E54" s="66" t="str">
        <x:v>13563</x:v>
      </x:c>
      <x:c r="F54" s="66" t="str">
        <x:v>0.004693245398744025</x:v>
      </x:c>
      <x:c r="G54" s="66" t="str">
        <x:v>0.003730747832917007</x:v>
      </x:c>
      <x:c r="H54" s="66" t="str">
        <x:v>0.005655742964571043</x:v>
      </x:c>
      <x:c r="I54" s="66" t="str">
        <x:v>6.050540535004736e-22</x:v>
      </x:c>
      <x:c r="J54" s="67" t="str">
        <x:v>True</x:v>
      </x:c>
    </x:row>
    <x:row r="55" ht="15" hidden="0" customHeight="1">
      <x:c r="A55" s="65" t="str">
        <x:v>4</x:v>
      </x:c>
      <x:c r="B55" s="66" t="str">
        <x:v>진열+전단 - 전단만</x:v>
      </x:c>
      <x:c r="C55" s="66" t="str">
        <x:v>DRUG GM 제외</x:v>
      </x:c>
      <x:c r="D55" s="66" t="str">
        <x:v>매출</x:v>
      </x:c>
      <x:c r="E55" s="66" t="str">
        <x:v>13563</x:v>
      </x:c>
      <x:c r="F55" s="66" t="str">
        <x:v>0.012962753702866855</x:v>
      </x:c>
      <x:c r="G55" s="66" t="str">
        <x:v>0.009746042589362227</x:v>
      </x:c>
      <x:c r="H55" s="66" t="str">
        <x:v>0.016179464816371482</x:v>
      </x:c>
      <x:c r="I55" s="66" t="str">
        <x:v>1.4120870375013844e-15</x:v>
      </x:c>
      <x:c r="J55" s="67" t="str">
        <x:v>True</x:v>
      </x:c>
    </x:row>
    <x:row r="56" ht="15" hidden="0" customHeight="1">
      <x:c r="A56" s="65" t="str">
        <x:v>4</x:v>
      </x:c>
      <x:c r="B56" s="66" t="str">
        <x:v>진열+전단 - 전단만</x:v>
      </x:c>
      <x:c r="C56" s="66" t="str">
        <x:v>PRODUCE 제외</x:v>
      </x:c>
      <x:c r="D56" s="66" t="str">
        <x:v>판매발생률</x:v>
      </x:c>
      <x:c r="E56" s="66" t="str">
        <x:v>16754</x:v>
      </x:c>
      <x:c r="F56" s="66" t="str">
        <x:v>0.004342351231500188</x:v>
      </x:c>
      <x:c r="G56" s="66" t="str">
        <x:v>0.0035028703055650337</x:v>
      </x:c>
      <x:c r="H56" s="66" t="str">
        <x:v>0.005181832157435343</x:v>
      </x:c>
      <x:c r="I56" s="66" t="str">
        <x:v>1.865465393325464e-24</x:v>
      </x:c>
      <x:c r="J56" s="67" t="str">
        <x:v>True</x:v>
      </x:c>
    </x:row>
    <x:row r="57" ht="15" hidden="0" customHeight="1">
      <x:c r="A57" s="65" t="str">
        <x:v>4</x:v>
      </x:c>
      <x:c r="B57" s="66" t="str">
        <x:v>진열+전단 - 전단만</x:v>
      </x:c>
      <x:c r="C57" s="66" t="str">
        <x:v>PRODUCE 제외</x:v>
      </x:c>
      <x:c r="D57" s="66" t="str">
        <x:v>매출</x:v>
      </x:c>
      <x:c r="E57" s="66" t="str">
        <x:v>16754</x:v>
      </x:c>
      <x:c r="F57" s="66" t="str">
        <x:v>0.011928589996930581</x:v>
      </x:c>
      <x:c r="G57" s="66" t="str">
        <x:v>0.007829256379100147</x:v>
      </x:c>
      <x:c r="H57" s="66" t="str">
        <x:v>0.016027923614761016</x:v>
      </x:c>
      <x:c r="I57" s="66" t="str">
        <x:v>5.872913128137506e-09</x:v>
      </x:c>
      <x:c r="J57" s="67" t="str">
        <x:v>True</x:v>
      </x:c>
    </x:row>
    <x:row r="58" ht="15" hidden="0" customHeight="1">
      <x:c r="A58" s="65" t="str">
        <x:v>4</x:v>
      </x:c>
      <x:c r="B58" s="66" t="str">
        <x:v>진열+전단 - 전단만</x:v>
      </x:c>
      <x:c r="C58" s="66" t="str">
        <x:v>COSMETICS 제외</x:v>
      </x:c>
      <x:c r="D58" s="66" t="str">
        <x:v>판매발생률</x:v>
      </x:c>
      <x:c r="E58" s="66" t="str">
        <x:v>16860</x:v>
      </x:c>
      <x:c r="F58" s="66" t="str">
        <x:v>0.004189221572742147</x:v>
      </x:c>
      <x:c r="G58" s="66" t="str">
        <x:v>0.0033487608489512115</x:v>
      </x:c>
      <x:c r="H58" s="66" t="str">
        <x:v>0.0050296822965330825</x:v>
      </x:c>
      <x:c r="I58" s="66" t="str">
        <x:v>7.610671023610628e-23</x:v>
      </x:c>
      <x:c r="J58" s="67" t="str">
        <x:v>True</x:v>
      </x:c>
    </x:row>
    <x:row r="59" ht="15" hidden="0" customHeight="1">
      <x:c r="A59" s="65" t="str">
        <x:v>4</x:v>
      </x:c>
      <x:c r="B59" s="66" t="str">
        <x:v>진열+전단 - 전단만</x:v>
      </x:c>
      <x:c r="C59" s="66" t="str">
        <x:v>COSMETICS 제외</x:v>
      </x:c>
      <x:c r="D59" s="66" t="str">
        <x:v>매출</x:v>
      </x:c>
      <x:c r="E59" s="66" t="str">
        <x:v>16860</x:v>
      </x:c>
      <x:c r="F59" s="66" t="str">
        <x:v>0.011696271803857107</x:v>
      </x:c>
      <x:c r="G59" s="66" t="str">
        <x:v>0.007582409378894302</x:v>
      </x:c>
      <x:c r="H59" s="66" t="str">
        <x:v>0.01581013422881991</x:v>
      </x:c>
      <x:c r="I59" s="66" t="str">
        <x:v>1.2552068802384695e-08</x:v>
      </x:c>
      <x:c r="J59" s="67" t="str">
        <x:v>True</x:v>
      </x:c>
    </x:row>
    <x:row r="60" ht="15" hidden="0" customHeight="1">
      <x:c r="A60" s="65" t="str">
        <x:v>4</x:v>
      </x:c>
      <x:c r="B60" s="66" t="str">
        <x:v>진열+전단 - 전단만</x:v>
      </x:c>
      <x:c r="C60" s="66" t="str">
        <x:v>NUTRITION 제외</x:v>
      </x:c>
      <x:c r="D60" s="66" t="str">
        <x:v>판매발생률</x:v>
      </x:c>
      <x:c r="E60" s="66" t="str">
        <x:v>16780</x:v>
      </x:c>
      <x:c r="F60" s="66" t="str">
        <x:v>0.0042861007812122235</x:v>
      </x:c>
      <x:c r="G60" s="66" t="str">
        <x:v>0.003435833054919786</x:v>
      </x:c>
      <x:c r="H60" s="66" t="str">
        <x:v>0.005136368507504661</x:v>
      </x:c>
      <x:c r="I60" s="66" t="str">
        <x:v>2.538294896560286e-23</x:v>
      </x:c>
      <x:c r="J60" s="67" t="str">
        <x:v>True</x:v>
      </x:c>
    </x:row>
    <x:row r="61" ht="15" hidden="0" customHeight="1">
      <x:c r="A61" s="65" t="str">
        <x:v>4</x:v>
      </x:c>
      <x:c r="B61" s="66" t="str">
        <x:v>진열+전단 - 전단만</x:v>
      </x:c>
      <x:c r="C61" s="66" t="str">
        <x:v>NUTRITION 제외</x:v>
      </x:c>
      <x:c r="D61" s="66" t="str">
        <x:v>매출</x:v>
      </x:c>
      <x:c r="E61" s="66" t="str">
        <x:v>16780</x:v>
      </x:c>
      <x:c r="F61" s="66" t="str">
        <x:v>0.012062819975240235</x:v>
      </x:c>
      <x:c r="G61" s="66" t="str">
        <x:v>0.007909937951052257</x:v>
      </x:c>
      <x:c r="H61" s="66" t="str">
        <x:v>0.016215701999428213</x:v>
      </x:c>
      <x:c r="I61" s="66" t="str">
        <x:v>6.234544397016286e-09</x:v>
      </x:c>
      <x:c r="J61" s="67" t="str">
        <x:v>True</x:v>
      </x:c>
    </x:row>
    <x:row r="62" ht="15" hidden="0" customHeight="1">
      <x:c r="A62" s="65" t="str">
        <x:v>4</x:v>
      </x:c>
      <x:c r="B62" s="66" t="str">
        <x:v>진열+전단 - 진열만</x:v>
      </x:c>
      <x:c r="C62" s="66" t="str">
        <x:v>전체</x:v>
      </x:c>
      <x:c r="D62" s="66" t="str">
        <x:v>판매발생률</x:v>
      </x:c>
      <x:c r="E62" s="66" t="str">
        <x:v>25721</x:v>
      </x:c>
      <x:c r="F62" s="66" t="str">
        <x:v>0.00565659495049278</x:v>
      </x:c>
      <x:c r="G62" s="66" t="str">
        <x:v>0.0049176105411793515</x:v>
      </x:c>
      <x:c r="H62" s="66" t="str">
        <x:v>0.0063955793598062085</x:v>
      </x:c>
      <x:c r="I62" s="66" t="str">
        <x:v>3.5128029129923157e-51</x:v>
      </x:c>
      <x:c r="J62" s="67" t="str">
        <x:v>True</x:v>
      </x:c>
    </x:row>
    <x:row r="63" ht="15" hidden="0" customHeight="1">
      <x:c r="A63" s="65" t="str">
        <x:v>4</x:v>
      </x:c>
      <x:c r="B63" s="66" t="str">
        <x:v>진열+전단 - 진열만</x:v>
      </x:c>
      <x:c r="C63" s="66" t="str">
        <x:v>전체</x:v>
      </x:c>
      <x:c r="D63" s="66" t="str">
        <x:v>매출</x:v>
      </x:c>
      <x:c r="E63" s="66" t="str">
        <x:v>25721</x:v>
      </x:c>
      <x:c r="F63" s="66" t="str">
        <x:v>0.015507385828205895</x:v>
      </x:c>
      <x:c r="G63" s="66" t="str">
        <x:v>0.0122994804535464</x:v>
      </x:c>
      <x:c r="H63" s="66" t="str">
        <x:v>0.01871529120286539</x:v>
      </x:c>
      <x:c r="I63" s="66" t="str">
        <x:v>1.3355059548267001e-21</x:v>
      </x:c>
      <x:c r="J63" s="67" t="str">
        <x:v>True</x:v>
      </x:c>
    </x:row>
    <x:row r="64" ht="15" hidden="0" customHeight="1">
      <x:c r="A64" s="65" t="str">
        <x:v>4</x:v>
      </x:c>
      <x:c r="B64" s="66" t="str">
        <x:v>진열+전단 - 진열만</x:v>
      </x:c>
      <x:c r="C64" s="66" t="str">
        <x:v>GROCERY 제외</x:v>
      </x:c>
      <x:c r="D64" s="66" t="str">
        <x:v>판매발생률</x:v>
      </x:c>
      <x:c r="E64" s="66" t="str">
        <x:v>10298</x:v>
      </x:c>
      <x:c r="F64" s="66" t="str">
        <x:v>0.005029670747323998</x:v>
      </x:c>
      <x:c r="G64" s="66" t="str">
        <x:v>0.003982119662876327</x:v>
      </x:c>
      <x:c r="H64" s="66" t="str">
        <x:v>0.006077221831771669</x:v>
      </x:c>
      <x:c r="I64" s="66" t="str">
        <x:v>2.4649863916751953e-21</x:v>
      </x:c>
      <x:c r="J64" s="67" t="str">
        <x:v>True</x:v>
      </x:c>
    </x:row>
    <x:row r="65" ht="15" hidden="0" customHeight="1">
      <x:c r="A65" s="65" t="str">
        <x:v>4</x:v>
      </x:c>
      <x:c r="B65" s="66" t="str">
        <x:v>진열+전단 - 진열만</x:v>
      </x:c>
      <x:c r="C65" s="66" t="str">
        <x:v>GROCERY 제외</x:v>
      </x:c>
      <x:c r="D65" s="66" t="str">
        <x:v>매출</x:v>
      </x:c>
      <x:c r="E65" s="66" t="str">
        <x:v>10298</x:v>
      </x:c>
      <x:c r="F65" s="66" t="str">
        <x:v>0.016667792415398966</x:v>
      </x:c>
      <x:c r="G65" s="66" t="str">
        <x:v>0.010319682228788013</x:v>
      </x:c>
      <x:c r="H65" s="66" t="str">
        <x:v>0.02301590260200992</x:v>
      </x:c>
      <x:c r="I65" s="66" t="str">
        <x:v>1.328825237147758e-07</x:v>
      </x:c>
      <x:c r="J65" s="67" t="str">
        <x:v>True</x:v>
      </x:c>
    </x:row>
    <x:row r="66" ht="15" hidden="0" customHeight="1">
      <x:c r="A66" s="65" t="str">
        <x:v>4</x:v>
      </x:c>
      <x:c r="B66" s="66" t="str">
        <x:v>진열+전단 - 진열만</x:v>
      </x:c>
      <x:c r="C66" s="66" t="str">
        <x:v>DRUG GM 제외</x:v>
      </x:c>
      <x:c r="D66" s="66" t="str">
        <x:v>판매발생률</x:v>
      </x:c>
      <x:c r="E66" s="66" t="str">
        <x:v>19122</x:v>
      </x:c>
      <x:c r="F66" s="66" t="str">
        <x:v>0.006637251858834763</x:v>
      </x:c>
      <x:c r="G66" s="66" t="str">
        <x:v>0.005747487246444096</x:v>
      </x:c>
      <x:c r="H66" s="66" t="str">
        <x:v>0.00752701647122543</x:v>
      </x:c>
      <x:c r="I66" s="66" t="str">
        <x:v>1.0357415571365057e-48</x:v>
      </x:c>
      <x:c r="J66" s="67" t="str">
        <x:v>True</x:v>
      </x:c>
    </x:row>
    <x:row r="67" ht="15" hidden="0" customHeight="1">
      <x:c r="A67" s="65" t="str">
        <x:v>4</x:v>
      </x:c>
      <x:c r="B67" s="66" t="str">
        <x:v>진열+전단 - 진열만</x:v>
      </x:c>
      <x:c r="C67" s="66" t="str">
        <x:v>DRUG GM 제외</x:v>
      </x:c>
      <x:c r="D67" s="66" t="str">
        <x:v>매출</x:v>
      </x:c>
      <x:c r="E67" s="66" t="str">
        <x:v>19122</x:v>
      </x:c>
      <x:c r="F67" s="66" t="str">
        <x:v>0.017586038448052833</x:v>
      </x:c>
      <x:c r="G67" s="66" t="str">
        <x:v>0.014557983933176224</x:v>
      </x:c>
      <x:c r="H67" s="66" t="str">
        <x:v>0.02061409296292944</x:v>
      </x:c>
      <x:c r="I67" s="66" t="str">
        <x:v>2.5382453940322274e-30</x:v>
      </x:c>
      <x:c r="J67" s="67" t="str">
        <x:v>True</x:v>
      </x:c>
    </x:row>
    <x:row r="68" ht="15" hidden="0" customHeight="1">
      <x:c r="A68" s="65" t="str">
        <x:v>4</x:v>
      </x:c>
      <x:c r="B68" s="66" t="str">
        <x:v>진열+전단 - 진열만</x:v>
      </x:c>
      <x:c r="C68" s="66" t="str">
        <x:v>PRODUCE 제외</x:v>
      </x:c>
      <x:c r="D68" s="66" t="str">
        <x:v>판매발생률</x:v>
      </x:c>
      <x:c r="E68" s="66" t="str">
        <x:v>25307</x:v>
      </x:c>
      <x:c r="F68" s="66" t="str">
        <x:v>0.005481327945863785</x:v>
      </x:c>
      <x:c r="G68" s="66" t="str">
        <x:v>0.004747157211504248</x:v>
      </x:c>
      <x:c r="H68" s="66" t="str">
        <x:v>0.006215498680223322</x:v>
      </x:c>
      <x:c r="I68" s="66" t="str">
        <x:v>8.600628800166683e-49</x:v>
      </x:c>
      <x:c r="J68" s="67" t="str">
        <x:v>True</x:v>
      </x:c>
    </x:row>
    <x:row r="69" ht="15" hidden="0" customHeight="1">
      <x:c r="A69" s="65" t="str">
        <x:v>4</x:v>
      </x:c>
      <x:c r="B69" s="66" t="str">
        <x:v>진열+전단 - 진열만</x:v>
      </x:c>
      <x:c r="C69" s="66" t="str">
        <x:v>PRODUCE 제외</x:v>
      </x:c>
      <x:c r="D69" s="66" t="str">
        <x:v>매출</x:v>
      </x:c>
      <x:c r="E69" s="66" t="str">
        <x:v>25307</x:v>
      </x:c>
      <x:c r="F69" s="66" t="str">
        <x:v>0.01471794772175943</x:v>
      </x:c>
      <x:c r="G69" s="66" t="str">
        <x:v>0.011535747480917624</x:v>
      </x:c>
      <x:c r="H69" s="66" t="str">
        <x:v>0.017900147962601237</x:v>
      </x:c>
      <x:c r="I69" s="66" t="str">
        <x:v>6.220659495862832e-20</x:v>
      </x:c>
      <x:c r="J69" s="67" t="str">
        <x:v>True</x:v>
      </x:c>
    </x:row>
    <x:row r="70" ht="15" hidden="0" customHeight="1">
      <x:c r="A70" s="65" t="str">
        <x:v>4</x:v>
      </x:c>
      <x:c r="B70" s="66" t="str">
        <x:v>진열+전단 - 진열만</x:v>
      </x:c>
      <x:c r="C70" s="66" t="str">
        <x:v>COSMETICS 제외</x:v>
      </x:c>
      <x:c r="D70" s="66" t="str">
        <x:v>판매발생률</x:v>
      </x:c>
      <x:c r="E70" s="66" t="str">
        <x:v>25417</x:v>
      </x:c>
      <x:c r="F70" s="66" t="str">
        <x:v>0.005728870202828423</x:v>
      </x:c>
      <x:c r="G70" s="66" t="str">
        <x:v>0.004981371225471286</x:v>
      </x:c>
      <x:c r="H70" s="66" t="str">
        <x:v>0.00647636918018556</x:v>
      </x:c>
      <x:c r="I70" s="66" t="str">
        <x:v>2.6530349672568214e-51</x:v>
      </x:c>
      <x:c r="J70" s="67" t="str">
        <x:v>True</x:v>
      </x:c>
    </x:row>
    <x:row r="71" ht="15" hidden="0" customHeight="1">
      <x:c r="A71" s="65" t="str">
        <x:v>4</x:v>
      </x:c>
      <x:c r="B71" s="66" t="str">
        <x:v>진열+전단 - 진열만</x:v>
      </x:c>
      <x:c r="C71" s="66" t="str">
        <x:v>COSMETICS 제외</x:v>
      </x:c>
      <x:c r="D71" s="66" t="str">
        <x:v>매출</x:v>
      </x:c>
      <x:c r="E71" s="66" t="str">
        <x:v>25417</x:v>
      </x:c>
      <x:c r="F71" s="66" t="str">
        <x:v>0.015740079655138614</x:v>
      </x:c>
      <x:c r="G71" s="66" t="str">
        <x:v>0.012496860312529336</x:v>
      </x:c>
      <x:c r="H71" s="66" t="str">
        <x:v>0.018983298997747894</x:v>
      </x:c>
      <x:c r="I71" s="66" t="str">
        <x:v>9.322407472105112e-22</x:v>
      </x:c>
      <x:c r="J71" s="67" t="str">
        <x:v>True</x:v>
      </x:c>
    </x:row>
    <x:row r="72" ht="15" hidden="0" customHeight="1">
      <x:c r="A72" s="65" t="str">
        <x:v>4</x:v>
      </x:c>
      <x:c r="B72" s="66" t="str">
        <x:v>진열+전단 - 진열만</x:v>
      </x:c>
      <x:c r="C72" s="66" t="str">
        <x:v>NUTRITION 제외</x:v>
      </x:c>
      <x:c r="D72" s="66" t="str">
        <x:v>판매발생률</x:v>
      </x:c>
      <x:c r="E72" s="66" t="str">
        <x:v>24899</x:v>
      </x:c>
      <x:c r="F72" s="66" t="str">
        <x:v>0.005770047000325423</x:v>
      </x:c>
      <x:c r="G72" s="66" t="str">
        <x:v>0.005009959984390654</x:v>
      </x:c>
      <x:c r="H72" s="66" t="str">
        <x:v>0.006530134016260193</x:v>
      </x:c>
      <x:c r="I72" s="66" t="str">
        <x:v>2.257854694174906e-50</x:v>
      </x:c>
      <x:c r="J72" s="67" t="str">
        <x:v>True</x:v>
      </x:c>
    </x:row>
    <x:row r="73" ht="15" hidden="0" customHeight="1">
      <x:c r="A73" s="68" t="str">
        <x:v>4</x:v>
      </x:c>
      <x:c r="B73" s="69" t="str">
        <x:v>진열+전단 - 진열만</x:v>
      </x:c>
      <x:c r="C73" s="69" t="str">
        <x:v>NUTRITION 제외</x:v>
      </x:c>
      <x:c r="D73" s="69" t="str">
        <x:v>매출</x:v>
      </x:c>
      <x:c r="E73" s="69" t="str">
        <x:v>24899</x:v>
      </x:c>
      <x:c r="F73" s="69" t="str">
        <x:v>0.016142921615428664</x:v>
      </x:c>
      <x:c r="G73" s="69" t="str">
        <x:v>0.012844342978895551</x:v>
      </x:c>
      <x:c r="H73" s="69" t="str">
        <x:v>0.019441500251961775</x:v>
      </x:c>
      <x:c r="I73" s="69" t="str">
        <x:v>4.317659343668414e-22</x:v>
      </x:c>
      <x:c r="J73" s="70" t="str">
        <x:v>True</x:v>
      </x:c>
    </x:row>
  </x:sheetData>
  <x:pageMargins left="0.7" right="0.7" top="0.75" bottom="0.75" header="0.3" footer="0.3"/>
</x:worksheet>
</file>